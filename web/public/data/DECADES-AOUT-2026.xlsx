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CA\2026\AOUT\DECADES\"/>
    </mc:Choice>
  </mc:AlternateContent>
  <bookViews>
    <workbookView minimized="1" xWindow="0" yWindow="0" windowWidth="20490" windowHeight="7755" activeTab="1"/>
  </bookViews>
  <sheets>
    <sheet name="Decade1" sheetId="1" r:id="rId1"/>
    <sheet name="Decade2" sheetId="10" r:id="rId2"/>
    <sheet name="Decade3" sheetId="11" r:id="rId3"/>
    <sheet name="Cumul" sheetId="6" r:id="rId4"/>
  </sheets>
  <calcPr calcId="152511"/>
</workbook>
</file>

<file path=xl/calcChain.xml><?xml version="1.0" encoding="utf-8"?>
<calcChain xmlns="http://schemas.openxmlformats.org/spreadsheetml/2006/main">
  <c r="M59" i="10" l="1"/>
  <c r="N59" i="10"/>
  <c r="O59" i="10"/>
  <c r="P59" i="10"/>
  <c r="M56" i="10"/>
  <c r="N56" i="10"/>
  <c r="O56" i="10"/>
  <c r="P56" i="10"/>
  <c r="M67" i="10"/>
  <c r="N67" i="10"/>
  <c r="O67" i="10"/>
  <c r="P67" i="10"/>
  <c r="P40" i="10"/>
  <c r="O40" i="10"/>
  <c r="N40" i="10"/>
  <c r="M40" i="10"/>
  <c r="M147" i="10" l="1"/>
  <c r="N147" i="10"/>
  <c r="O147" i="10"/>
  <c r="P147" i="10"/>
  <c r="N35" i="11" l="1"/>
  <c r="M66" i="10" l="1"/>
  <c r="N66" i="10"/>
  <c r="O66" i="10"/>
  <c r="P66" i="10"/>
  <c r="M68" i="10"/>
  <c r="N68" i="10"/>
  <c r="O68" i="10"/>
  <c r="P68" i="10"/>
  <c r="M69" i="10"/>
  <c r="N69" i="10"/>
  <c r="O69" i="10"/>
  <c r="P69" i="10"/>
  <c r="M70" i="10"/>
  <c r="N70" i="10"/>
  <c r="O70" i="10"/>
  <c r="P70" i="10"/>
  <c r="M71" i="10"/>
  <c r="N71" i="10"/>
  <c r="O71" i="10"/>
  <c r="P71" i="10"/>
  <c r="M72" i="10"/>
  <c r="N72" i="10"/>
  <c r="O72" i="10"/>
  <c r="P72" i="10"/>
  <c r="C75" i="10"/>
  <c r="D35" i="6" l="1"/>
  <c r="M100" i="10" l="1"/>
  <c r="D154" i="6" l="1"/>
  <c r="D126" i="6"/>
  <c r="D92" i="6"/>
  <c r="D61" i="6"/>
  <c r="M118" i="10" l="1"/>
  <c r="N118" i="10"/>
  <c r="O118" i="10"/>
  <c r="P118" i="10"/>
  <c r="M119" i="10"/>
  <c r="N119" i="10"/>
  <c r="O119" i="10"/>
  <c r="P119" i="10"/>
  <c r="M120" i="10"/>
  <c r="N120" i="10"/>
  <c r="O120" i="10"/>
  <c r="P120" i="10"/>
  <c r="M121" i="10"/>
  <c r="N121" i="10"/>
  <c r="O121" i="10"/>
  <c r="P121" i="10"/>
  <c r="M122" i="10"/>
  <c r="N122" i="10"/>
  <c r="O122" i="10"/>
  <c r="P122" i="10"/>
  <c r="M123" i="10"/>
  <c r="N123" i="10"/>
  <c r="O123" i="10"/>
  <c r="P123" i="10"/>
  <c r="M124" i="10"/>
  <c r="N124" i="10"/>
  <c r="O124" i="10"/>
  <c r="P124" i="10"/>
  <c r="M125" i="10"/>
  <c r="N125" i="10"/>
  <c r="O125" i="10"/>
  <c r="P125" i="10"/>
  <c r="M126" i="10"/>
  <c r="N126" i="10"/>
  <c r="O126" i="10"/>
  <c r="P126" i="10"/>
  <c r="M127" i="10"/>
  <c r="N127" i="10"/>
  <c r="O127" i="10"/>
  <c r="P127" i="10"/>
  <c r="M128" i="10"/>
  <c r="N128" i="10"/>
  <c r="O128" i="10"/>
  <c r="P128" i="10"/>
  <c r="M129" i="10"/>
  <c r="N129" i="10"/>
  <c r="O129" i="10"/>
  <c r="P129" i="10"/>
  <c r="M130" i="10"/>
  <c r="N130" i="10"/>
  <c r="O130" i="10"/>
  <c r="P130" i="10"/>
  <c r="M131" i="10"/>
  <c r="N131" i="10"/>
  <c r="O131" i="10"/>
  <c r="P131" i="10"/>
  <c r="M132" i="10"/>
  <c r="N132" i="10"/>
  <c r="O132" i="10"/>
  <c r="P132" i="10"/>
  <c r="M133" i="10"/>
  <c r="N133" i="10"/>
  <c r="O133" i="10"/>
  <c r="P133" i="10"/>
  <c r="M134" i="10"/>
  <c r="N134" i="10"/>
  <c r="O134" i="10"/>
  <c r="P134" i="10"/>
  <c r="M135" i="10"/>
  <c r="N135" i="10"/>
  <c r="O135" i="10"/>
  <c r="P135" i="10"/>
  <c r="M136" i="10"/>
  <c r="N136" i="10"/>
  <c r="O136" i="10"/>
  <c r="P136" i="10"/>
  <c r="M137" i="10"/>
  <c r="N137" i="10"/>
  <c r="O137" i="10"/>
  <c r="P137" i="10"/>
  <c r="M138" i="10"/>
  <c r="N138" i="10"/>
  <c r="O138" i="10"/>
  <c r="P138" i="10"/>
  <c r="M139" i="10"/>
  <c r="N139" i="10"/>
  <c r="O139" i="10"/>
  <c r="P139" i="10"/>
  <c r="M140" i="10"/>
  <c r="N140" i="10"/>
  <c r="O140" i="10"/>
  <c r="P140" i="10"/>
  <c r="M141" i="10"/>
  <c r="N141" i="10"/>
  <c r="O141" i="10"/>
  <c r="P141" i="10"/>
  <c r="M142" i="10"/>
  <c r="N142" i="10"/>
  <c r="O142" i="10"/>
  <c r="P142" i="10"/>
  <c r="M143" i="10"/>
  <c r="N143" i="10"/>
  <c r="O143" i="10"/>
  <c r="P143" i="10"/>
  <c r="M144" i="10"/>
  <c r="N144" i="10"/>
  <c r="O144" i="10"/>
  <c r="P144" i="10"/>
  <c r="M145" i="10"/>
  <c r="N145" i="10"/>
  <c r="O145" i="10"/>
  <c r="P145" i="10"/>
  <c r="M146" i="10"/>
  <c r="N146" i="10"/>
  <c r="O146" i="10"/>
  <c r="P146" i="10"/>
  <c r="N100" i="10"/>
  <c r="O100" i="10"/>
  <c r="P100" i="10"/>
  <c r="M101" i="10"/>
  <c r="N101" i="10"/>
  <c r="O101" i="10"/>
  <c r="P101" i="10"/>
  <c r="M102" i="10"/>
  <c r="N102" i="10"/>
  <c r="O102" i="10"/>
  <c r="P102" i="10"/>
  <c r="M103" i="10"/>
  <c r="N103" i="10"/>
  <c r="O103" i="10"/>
  <c r="P103" i="10"/>
  <c r="M104" i="10"/>
  <c r="N104" i="10"/>
  <c r="O104" i="10"/>
  <c r="P104" i="10"/>
  <c r="M105" i="10"/>
  <c r="N105" i="10"/>
  <c r="O105" i="10"/>
  <c r="P105" i="10"/>
  <c r="M106" i="10"/>
  <c r="N106" i="10"/>
  <c r="O106" i="10"/>
  <c r="P106" i="10"/>
  <c r="M107" i="10"/>
  <c r="N107" i="10"/>
  <c r="O107" i="10"/>
  <c r="P107" i="10"/>
  <c r="M108" i="10"/>
  <c r="N108" i="10"/>
  <c r="O108" i="10"/>
  <c r="P108" i="10"/>
  <c r="M109" i="10"/>
  <c r="N109" i="10"/>
  <c r="O109" i="10"/>
  <c r="P109" i="10"/>
  <c r="M110" i="10"/>
  <c r="N110" i="10"/>
  <c r="O110" i="10"/>
  <c r="P110" i="10"/>
  <c r="M111" i="10"/>
  <c r="N111" i="10"/>
  <c r="O111" i="10"/>
  <c r="P111" i="10"/>
  <c r="M79" i="10"/>
  <c r="N79" i="10"/>
  <c r="O79" i="10"/>
  <c r="P79" i="10"/>
  <c r="M80" i="10"/>
  <c r="N80" i="10"/>
  <c r="O80" i="10"/>
  <c r="P80" i="10"/>
  <c r="M81" i="10"/>
  <c r="N81" i="10"/>
  <c r="O81" i="10"/>
  <c r="P81" i="10"/>
  <c r="M82" i="10"/>
  <c r="N82" i="10"/>
  <c r="O82" i="10"/>
  <c r="P82" i="10"/>
  <c r="M83" i="10"/>
  <c r="N83" i="10"/>
  <c r="O83" i="10"/>
  <c r="P83" i="10"/>
  <c r="M84" i="10"/>
  <c r="N84" i="10"/>
  <c r="O84" i="10"/>
  <c r="P84" i="10"/>
  <c r="M85" i="10"/>
  <c r="N85" i="10"/>
  <c r="O85" i="10"/>
  <c r="P85" i="10"/>
  <c r="M86" i="10"/>
  <c r="N86" i="10"/>
  <c r="O86" i="10"/>
  <c r="P86" i="10"/>
  <c r="M87" i="10"/>
  <c r="N87" i="10"/>
  <c r="O87" i="10"/>
  <c r="P87" i="10"/>
  <c r="M88" i="10"/>
  <c r="N88" i="10"/>
  <c r="O88" i="10"/>
  <c r="P88" i="10"/>
  <c r="M89" i="10"/>
  <c r="N89" i="10"/>
  <c r="O89" i="10"/>
  <c r="P89" i="10"/>
  <c r="M90" i="10"/>
  <c r="N90" i="10"/>
  <c r="O90" i="10"/>
  <c r="P90" i="10"/>
  <c r="M91" i="10"/>
  <c r="N91" i="10"/>
  <c r="O91" i="10"/>
  <c r="P91" i="10"/>
  <c r="M92" i="10"/>
  <c r="N92" i="10"/>
  <c r="O92" i="10"/>
  <c r="P92" i="10"/>
  <c r="M93" i="10"/>
  <c r="N93" i="10"/>
  <c r="O93" i="10"/>
  <c r="P93" i="10"/>
  <c r="M94" i="10"/>
  <c r="N94" i="10"/>
  <c r="O94" i="10"/>
  <c r="P94" i="10"/>
  <c r="M78" i="10"/>
  <c r="M49" i="10"/>
  <c r="N49" i="10"/>
  <c r="O49" i="10"/>
  <c r="P49" i="10"/>
  <c r="M50" i="10"/>
  <c r="N50" i="10"/>
  <c r="O50" i="10"/>
  <c r="P50" i="10"/>
  <c r="M51" i="10"/>
  <c r="N51" i="10"/>
  <c r="O51" i="10"/>
  <c r="P51" i="10"/>
  <c r="M52" i="10"/>
  <c r="N52" i="10"/>
  <c r="O52" i="10"/>
  <c r="P52" i="10"/>
  <c r="M53" i="10"/>
  <c r="N53" i="10"/>
  <c r="O53" i="10"/>
  <c r="P53" i="10"/>
  <c r="M54" i="10"/>
  <c r="N54" i="10"/>
  <c r="O54" i="10"/>
  <c r="P54" i="10"/>
  <c r="M55" i="10"/>
  <c r="N55" i="10"/>
  <c r="O55" i="10"/>
  <c r="P55" i="10"/>
  <c r="M57" i="10"/>
  <c r="N57" i="10"/>
  <c r="O57" i="10"/>
  <c r="P57" i="10"/>
  <c r="M58" i="10"/>
  <c r="N58" i="10"/>
  <c r="O58" i="10"/>
  <c r="P58" i="10"/>
  <c r="M60" i="10"/>
  <c r="N60" i="10"/>
  <c r="O60" i="10"/>
  <c r="P60" i="10"/>
  <c r="M61" i="10"/>
  <c r="N61" i="10"/>
  <c r="O61" i="10"/>
  <c r="P61" i="10"/>
  <c r="M62" i="10"/>
  <c r="N62" i="10"/>
  <c r="O62" i="10"/>
  <c r="P62" i="10"/>
  <c r="M63" i="10"/>
  <c r="N63" i="10"/>
  <c r="O63" i="10"/>
  <c r="P63" i="10"/>
  <c r="M64" i="10"/>
  <c r="N64" i="10"/>
  <c r="O64" i="10"/>
  <c r="P64" i="10"/>
  <c r="M65" i="10"/>
  <c r="N65" i="10"/>
  <c r="O65" i="10"/>
  <c r="P65" i="10"/>
  <c r="M26" i="10"/>
  <c r="N26" i="10"/>
  <c r="O26" i="10"/>
  <c r="P26" i="10"/>
  <c r="M27" i="10"/>
  <c r="N27" i="10"/>
  <c r="O27" i="10"/>
  <c r="P27" i="10"/>
  <c r="M28" i="10"/>
  <c r="N28" i="10"/>
  <c r="O28" i="10"/>
  <c r="P28" i="10"/>
  <c r="M29" i="10"/>
  <c r="N29" i="10"/>
  <c r="O29" i="10"/>
  <c r="P29" i="10"/>
  <c r="M30" i="10"/>
  <c r="N30" i="10"/>
  <c r="O30" i="10"/>
  <c r="P30" i="10"/>
  <c r="M31" i="10"/>
  <c r="N31" i="10"/>
  <c r="O31" i="10"/>
  <c r="P31" i="10"/>
  <c r="M32" i="10"/>
  <c r="N32" i="10"/>
  <c r="O32" i="10"/>
  <c r="P32" i="10"/>
  <c r="M33" i="10"/>
  <c r="N33" i="10"/>
  <c r="O33" i="10"/>
  <c r="P33" i="10"/>
  <c r="M34" i="10"/>
  <c r="N34" i="10"/>
  <c r="O34" i="10"/>
  <c r="P34" i="10"/>
  <c r="M35" i="10"/>
  <c r="N35" i="10"/>
  <c r="O35" i="10"/>
  <c r="P35" i="10"/>
  <c r="M36" i="10"/>
  <c r="N36" i="10"/>
  <c r="O36" i="10"/>
  <c r="P36" i="10"/>
  <c r="M37" i="10"/>
  <c r="N37" i="10"/>
  <c r="O37" i="10"/>
  <c r="P37" i="10"/>
  <c r="M38" i="10"/>
  <c r="N38" i="10"/>
  <c r="O38" i="10"/>
  <c r="P38" i="10"/>
  <c r="M39" i="10"/>
  <c r="N39" i="10"/>
  <c r="O39" i="10"/>
  <c r="P39" i="10"/>
  <c r="M41" i="10"/>
  <c r="N41" i="10"/>
  <c r="O41" i="10"/>
  <c r="P41" i="10"/>
  <c r="M42" i="10"/>
  <c r="N42" i="10"/>
  <c r="O42" i="10"/>
  <c r="P42" i="10"/>
  <c r="P19" i="10"/>
  <c r="M6" i="10"/>
  <c r="N6" i="10"/>
  <c r="O6" i="10"/>
  <c r="P6" i="10"/>
  <c r="M7" i="10"/>
  <c r="N7" i="10"/>
  <c r="O7" i="10"/>
  <c r="P7" i="10"/>
  <c r="M8" i="10"/>
  <c r="N8" i="10"/>
  <c r="O8" i="10"/>
  <c r="P8" i="10"/>
  <c r="M9" i="10"/>
  <c r="N9" i="10"/>
  <c r="O9" i="10"/>
  <c r="P9" i="10"/>
  <c r="M10" i="10"/>
  <c r="N10" i="10"/>
  <c r="O10" i="10"/>
  <c r="P10" i="10"/>
  <c r="M11" i="10"/>
  <c r="N11" i="10"/>
  <c r="O11" i="10"/>
  <c r="P11" i="10"/>
  <c r="M12" i="10"/>
  <c r="N12" i="10"/>
  <c r="O12" i="10"/>
  <c r="P12" i="10"/>
  <c r="M13" i="10"/>
  <c r="N13" i="10"/>
  <c r="O13" i="10"/>
  <c r="P13" i="10"/>
  <c r="M14" i="10"/>
  <c r="N14" i="10"/>
  <c r="O14" i="10"/>
  <c r="P14" i="10"/>
  <c r="M15" i="10"/>
  <c r="N15" i="10"/>
  <c r="O15" i="10"/>
  <c r="P15" i="10"/>
  <c r="M16" i="10"/>
  <c r="N16" i="10"/>
  <c r="O16" i="10"/>
  <c r="P16" i="10"/>
  <c r="M17" i="10"/>
  <c r="N17" i="10"/>
  <c r="O17" i="10"/>
  <c r="P17" i="10"/>
  <c r="M18" i="10"/>
  <c r="N18" i="10"/>
  <c r="O18" i="10"/>
  <c r="P18" i="10"/>
  <c r="M19" i="10"/>
  <c r="N19" i="10"/>
  <c r="O19" i="10"/>
  <c r="N76" i="11" l="1"/>
  <c r="M140" i="1" l="1"/>
  <c r="N140" i="1"/>
  <c r="O140" i="1"/>
  <c r="P140" i="1"/>
  <c r="M141" i="1"/>
  <c r="N141" i="1"/>
  <c r="O141" i="1"/>
  <c r="P141" i="1"/>
  <c r="M142" i="1"/>
  <c r="N142" i="1"/>
  <c r="O142" i="1"/>
  <c r="P142" i="1"/>
  <c r="M143" i="1"/>
  <c r="N143" i="1"/>
  <c r="O143" i="1"/>
  <c r="P143" i="1"/>
  <c r="M144" i="1"/>
  <c r="N144" i="1"/>
  <c r="O144" i="1"/>
  <c r="P144" i="1"/>
  <c r="M145" i="1"/>
  <c r="N145" i="1"/>
  <c r="O145" i="1"/>
  <c r="P145" i="1"/>
  <c r="M146" i="1"/>
  <c r="N146" i="1"/>
  <c r="O146" i="1"/>
  <c r="P146" i="1"/>
  <c r="M147" i="1"/>
  <c r="N147" i="1"/>
  <c r="O147" i="1"/>
  <c r="P147" i="1"/>
  <c r="M148" i="1"/>
  <c r="N148" i="1"/>
  <c r="O148" i="1"/>
  <c r="P14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N152" i="1"/>
  <c r="O152" i="1"/>
  <c r="P152" i="1"/>
  <c r="M153" i="1"/>
  <c r="N153" i="1"/>
  <c r="O153" i="1"/>
  <c r="P153" i="1"/>
  <c r="M154" i="1"/>
  <c r="N154" i="1"/>
  <c r="O154" i="1"/>
  <c r="P154" i="1"/>
  <c r="M155" i="1"/>
  <c r="N155" i="1"/>
  <c r="O155" i="1"/>
  <c r="P155" i="1"/>
  <c r="M156" i="1"/>
  <c r="N156" i="1"/>
  <c r="O156" i="1"/>
  <c r="P156" i="1"/>
  <c r="M157" i="1"/>
  <c r="N157" i="1"/>
  <c r="O157" i="1"/>
  <c r="P157" i="1"/>
  <c r="M158" i="1"/>
  <c r="N158" i="1"/>
  <c r="O158" i="1"/>
  <c r="P158" i="1"/>
  <c r="M159" i="1"/>
  <c r="N159" i="1"/>
  <c r="O159" i="1"/>
  <c r="P159" i="1"/>
  <c r="M160" i="1"/>
  <c r="N160" i="1"/>
  <c r="O160" i="1"/>
  <c r="P160" i="1"/>
  <c r="M161" i="1"/>
  <c r="N161" i="1"/>
  <c r="O161" i="1"/>
  <c r="P161" i="1"/>
  <c r="M162" i="1"/>
  <c r="N162" i="1"/>
  <c r="O162" i="1"/>
  <c r="P162" i="1"/>
  <c r="N163" i="1"/>
  <c r="O163" i="1"/>
  <c r="P163" i="1"/>
  <c r="M164" i="1"/>
  <c r="N164" i="1"/>
  <c r="O164" i="1"/>
  <c r="P164" i="1"/>
  <c r="M165" i="1"/>
  <c r="N165" i="1"/>
  <c r="O165" i="1"/>
  <c r="P165" i="1"/>
  <c r="M166" i="1"/>
  <c r="N166" i="1"/>
  <c r="O166" i="1"/>
  <c r="P166" i="1"/>
  <c r="M167" i="1"/>
  <c r="N167" i="1"/>
  <c r="O167" i="1"/>
  <c r="P167" i="1"/>
  <c r="M168" i="1"/>
  <c r="N168" i="1"/>
  <c r="O168" i="1"/>
  <c r="P168" i="1"/>
  <c r="M114" i="1"/>
  <c r="N114" i="1"/>
  <c r="O114" i="1"/>
  <c r="P114" i="1"/>
  <c r="M115" i="1"/>
  <c r="N115" i="1"/>
  <c r="O115" i="1"/>
  <c r="P115" i="1"/>
  <c r="M116" i="1"/>
  <c r="N116" i="1"/>
  <c r="O116" i="1"/>
  <c r="P116" i="1"/>
  <c r="M117" i="1"/>
  <c r="N117" i="1"/>
  <c r="O117" i="1"/>
  <c r="P117" i="1"/>
  <c r="M118" i="1"/>
  <c r="N118" i="1"/>
  <c r="O118" i="1"/>
  <c r="P118" i="1"/>
  <c r="M119" i="1"/>
  <c r="N119" i="1"/>
  <c r="O119" i="1"/>
  <c r="P119" i="1"/>
  <c r="N120" i="1"/>
  <c r="O120" i="1"/>
  <c r="P120" i="1"/>
  <c r="M121" i="1"/>
  <c r="N121" i="1"/>
  <c r="O121" i="1"/>
  <c r="P121" i="1"/>
  <c r="M122" i="1"/>
  <c r="N122" i="1"/>
  <c r="O122" i="1"/>
  <c r="P122" i="1"/>
  <c r="M123" i="1"/>
  <c r="N123" i="1"/>
  <c r="O123" i="1"/>
  <c r="P123" i="1"/>
  <c r="M124" i="1"/>
  <c r="N124" i="1"/>
  <c r="O124" i="1"/>
  <c r="P124" i="1"/>
  <c r="M125" i="1"/>
  <c r="N125" i="1"/>
  <c r="O125" i="1"/>
  <c r="P12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N100" i="1"/>
  <c r="O100" i="1"/>
  <c r="P100" i="1"/>
  <c r="M101" i="1"/>
  <c r="N101" i="1"/>
  <c r="O101" i="1"/>
  <c r="P101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55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C136" i="1" l="1"/>
  <c r="C110" i="1"/>
  <c r="C82" i="1"/>
  <c r="C52" i="1"/>
  <c r="C28" i="1"/>
  <c r="C114" i="10"/>
  <c r="C96" i="10"/>
  <c r="C45" i="10"/>
  <c r="C22" i="10"/>
  <c r="C112" i="11"/>
  <c r="C94" i="11"/>
  <c r="C72" i="11"/>
  <c r="C45" i="11"/>
  <c r="C23" i="11"/>
  <c r="N116" i="11" l="1"/>
  <c r="O116" i="11"/>
  <c r="P116" i="11"/>
  <c r="Q116" i="11"/>
  <c r="N117" i="11"/>
  <c r="O117" i="11"/>
  <c r="P117" i="11"/>
  <c r="Q117" i="11"/>
  <c r="N118" i="11"/>
  <c r="O118" i="11"/>
  <c r="P118" i="11"/>
  <c r="Q118" i="11"/>
  <c r="N119" i="11"/>
  <c r="O119" i="11"/>
  <c r="P119" i="11"/>
  <c r="Q119" i="11"/>
  <c r="N120" i="11"/>
  <c r="O120" i="11"/>
  <c r="P120" i="11"/>
  <c r="Q120" i="11"/>
  <c r="N121" i="11"/>
  <c r="O121" i="11"/>
  <c r="P121" i="11"/>
  <c r="Q121" i="11"/>
  <c r="N122" i="11"/>
  <c r="O122" i="11"/>
  <c r="P122" i="11"/>
  <c r="Q122" i="11"/>
  <c r="N123" i="11"/>
  <c r="O123" i="11"/>
  <c r="P123" i="11"/>
  <c r="Q123" i="11"/>
  <c r="N124" i="11"/>
  <c r="O124" i="11"/>
  <c r="P124" i="11"/>
  <c r="Q124" i="11"/>
  <c r="N125" i="11"/>
  <c r="O125" i="11"/>
  <c r="P125" i="11"/>
  <c r="Q125" i="11"/>
  <c r="N126" i="11"/>
  <c r="O126" i="11"/>
  <c r="P126" i="11"/>
  <c r="Q126" i="11"/>
  <c r="N127" i="11"/>
  <c r="O127" i="11"/>
  <c r="P127" i="11"/>
  <c r="Q127" i="11"/>
  <c r="N128" i="11"/>
  <c r="O128" i="11"/>
  <c r="P128" i="11"/>
  <c r="Q128" i="11"/>
  <c r="N129" i="11"/>
  <c r="O129" i="11"/>
  <c r="P129" i="11"/>
  <c r="Q129" i="11"/>
  <c r="N130" i="11"/>
  <c r="O130" i="11"/>
  <c r="P130" i="11"/>
  <c r="Q130" i="11"/>
  <c r="N131" i="11"/>
  <c r="O131" i="11"/>
  <c r="P131" i="11"/>
  <c r="Q131" i="11"/>
  <c r="N132" i="11"/>
  <c r="O132" i="11"/>
  <c r="P132" i="11"/>
  <c r="Q132" i="11"/>
  <c r="N133" i="11"/>
  <c r="O133" i="11"/>
  <c r="P133" i="11"/>
  <c r="Q133" i="11"/>
  <c r="N134" i="11"/>
  <c r="O134" i="11"/>
  <c r="P134" i="11"/>
  <c r="Q134" i="11"/>
  <c r="N135" i="11"/>
  <c r="O135" i="11"/>
  <c r="P135" i="11"/>
  <c r="Q135" i="11"/>
  <c r="N136" i="11"/>
  <c r="O136" i="11"/>
  <c r="P136" i="11"/>
  <c r="Q136" i="11"/>
  <c r="N137" i="11"/>
  <c r="O137" i="11"/>
  <c r="P137" i="11"/>
  <c r="Q137" i="11"/>
  <c r="N138" i="11"/>
  <c r="O138" i="11"/>
  <c r="P138" i="11"/>
  <c r="Q138" i="11"/>
  <c r="N139" i="11"/>
  <c r="O139" i="11"/>
  <c r="P139" i="11"/>
  <c r="Q139" i="11"/>
  <c r="N140" i="11"/>
  <c r="O140" i="11"/>
  <c r="P140" i="11"/>
  <c r="Q140" i="11"/>
  <c r="N141" i="11"/>
  <c r="O141" i="11"/>
  <c r="P141" i="11"/>
  <c r="Q141" i="11"/>
  <c r="N142" i="11"/>
  <c r="O142" i="11"/>
  <c r="P142" i="11"/>
  <c r="Q142" i="11"/>
  <c r="N143" i="11"/>
  <c r="O143" i="11"/>
  <c r="P143" i="11"/>
  <c r="Q143" i="11"/>
  <c r="N144" i="11"/>
  <c r="O144" i="11"/>
  <c r="P144" i="11"/>
  <c r="Q144" i="11"/>
  <c r="N98" i="11"/>
  <c r="O98" i="11"/>
  <c r="P98" i="11"/>
  <c r="Q98" i="11"/>
  <c r="N99" i="11"/>
  <c r="O99" i="11"/>
  <c r="P99" i="11"/>
  <c r="Q99" i="11"/>
  <c r="N100" i="11"/>
  <c r="O100" i="11"/>
  <c r="P100" i="11"/>
  <c r="Q100" i="11"/>
  <c r="N101" i="11"/>
  <c r="O101" i="11"/>
  <c r="P101" i="11"/>
  <c r="Q101" i="11"/>
  <c r="N102" i="11"/>
  <c r="O102" i="11"/>
  <c r="P102" i="11"/>
  <c r="Q102" i="11"/>
  <c r="N103" i="11"/>
  <c r="O103" i="11"/>
  <c r="P103" i="11"/>
  <c r="Q103" i="11"/>
  <c r="N104" i="11"/>
  <c r="O104" i="11"/>
  <c r="P104" i="11"/>
  <c r="Q104" i="11"/>
  <c r="N105" i="11"/>
  <c r="O105" i="11"/>
  <c r="P105" i="11"/>
  <c r="Q105" i="11"/>
  <c r="N106" i="11"/>
  <c r="O106" i="11"/>
  <c r="P106" i="11"/>
  <c r="Q106" i="11"/>
  <c r="N107" i="11"/>
  <c r="O107" i="11"/>
  <c r="P107" i="11"/>
  <c r="Q107" i="11"/>
  <c r="N108" i="11"/>
  <c r="O108" i="11"/>
  <c r="P108" i="11"/>
  <c r="Q108" i="11"/>
  <c r="N109" i="11"/>
  <c r="O109" i="11"/>
  <c r="P109" i="11"/>
  <c r="Q109" i="11"/>
  <c r="O76" i="11"/>
  <c r="P76" i="11"/>
  <c r="Q76" i="11"/>
  <c r="N77" i="11"/>
  <c r="O77" i="11"/>
  <c r="P77" i="11"/>
  <c r="Q77" i="11"/>
  <c r="N78" i="11"/>
  <c r="O78" i="11"/>
  <c r="P78" i="11"/>
  <c r="Q78" i="11"/>
  <c r="N79" i="11"/>
  <c r="O79" i="11"/>
  <c r="P79" i="11"/>
  <c r="Q79" i="11"/>
  <c r="N80" i="11"/>
  <c r="O80" i="11"/>
  <c r="P80" i="11"/>
  <c r="Q80" i="11"/>
  <c r="N81" i="11"/>
  <c r="O81" i="11"/>
  <c r="P81" i="11"/>
  <c r="Q81" i="11"/>
  <c r="N82" i="11"/>
  <c r="O82" i="11"/>
  <c r="P82" i="11"/>
  <c r="Q82" i="11"/>
  <c r="N83" i="11"/>
  <c r="O83" i="11"/>
  <c r="P83" i="11"/>
  <c r="Q83" i="11"/>
  <c r="N84" i="11"/>
  <c r="O84" i="11"/>
  <c r="P84" i="11"/>
  <c r="Q84" i="11"/>
  <c r="N85" i="11"/>
  <c r="O85" i="11"/>
  <c r="P85" i="11"/>
  <c r="Q85" i="11"/>
  <c r="N86" i="11"/>
  <c r="O86" i="11"/>
  <c r="P86" i="11"/>
  <c r="Q86" i="11"/>
  <c r="N87" i="11"/>
  <c r="O87" i="11"/>
  <c r="P87" i="11"/>
  <c r="Q87" i="11"/>
  <c r="N88" i="11"/>
  <c r="O88" i="11"/>
  <c r="P88" i="11"/>
  <c r="Q88" i="11"/>
  <c r="N89" i="11"/>
  <c r="O89" i="11"/>
  <c r="P89" i="11"/>
  <c r="Q89" i="11"/>
  <c r="N90" i="11"/>
  <c r="O90" i="11"/>
  <c r="P90" i="11"/>
  <c r="Q90" i="11"/>
  <c r="N91" i="11"/>
  <c r="O91" i="11"/>
  <c r="P91" i="11"/>
  <c r="Q91" i="11"/>
  <c r="N49" i="11"/>
  <c r="O49" i="11"/>
  <c r="P49" i="11"/>
  <c r="Q49" i="11"/>
  <c r="N50" i="11"/>
  <c r="O50" i="11"/>
  <c r="P50" i="11"/>
  <c r="Q50" i="11"/>
  <c r="N51" i="11"/>
  <c r="O51" i="11"/>
  <c r="P51" i="11"/>
  <c r="Q51" i="11"/>
  <c r="N52" i="11"/>
  <c r="O52" i="11"/>
  <c r="P52" i="11"/>
  <c r="Q52" i="11"/>
  <c r="N53" i="11"/>
  <c r="O53" i="11"/>
  <c r="P53" i="11"/>
  <c r="Q53" i="11"/>
  <c r="N54" i="11"/>
  <c r="O54" i="11"/>
  <c r="P54" i="11"/>
  <c r="Q54" i="11"/>
  <c r="N55" i="11"/>
  <c r="O55" i="11"/>
  <c r="P55" i="11"/>
  <c r="Q55" i="11"/>
  <c r="N56" i="11"/>
  <c r="O56" i="11"/>
  <c r="P56" i="11"/>
  <c r="Q56" i="11"/>
  <c r="N57" i="11"/>
  <c r="O57" i="11"/>
  <c r="P57" i="11"/>
  <c r="Q57" i="11"/>
  <c r="N58" i="11"/>
  <c r="O58" i="11"/>
  <c r="P58" i="11"/>
  <c r="Q58" i="11"/>
  <c r="N59" i="11"/>
  <c r="O59" i="11"/>
  <c r="P59" i="11"/>
  <c r="Q59" i="11"/>
  <c r="N60" i="11"/>
  <c r="O60" i="11"/>
  <c r="P60" i="11"/>
  <c r="Q60" i="11"/>
  <c r="N61" i="11"/>
  <c r="O61" i="11"/>
  <c r="P61" i="11"/>
  <c r="Q61" i="11"/>
  <c r="N62" i="11"/>
  <c r="O62" i="11"/>
  <c r="P62" i="11"/>
  <c r="Q62" i="11"/>
  <c r="N63" i="11"/>
  <c r="O63" i="11"/>
  <c r="P63" i="11"/>
  <c r="Q63" i="11"/>
  <c r="N64" i="11"/>
  <c r="O64" i="11"/>
  <c r="P64" i="11"/>
  <c r="Q64" i="11"/>
  <c r="N65" i="11"/>
  <c r="O65" i="11"/>
  <c r="P65" i="11"/>
  <c r="Q65" i="11"/>
  <c r="N66" i="11"/>
  <c r="O66" i="11"/>
  <c r="P66" i="11"/>
  <c r="Q66" i="11"/>
  <c r="N67" i="11"/>
  <c r="O67" i="11"/>
  <c r="P67" i="11"/>
  <c r="Q67" i="11"/>
  <c r="N68" i="11"/>
  <c r="O68" i="11"/>
  <c r="P68" i="11"/>
  <c r="Q68" i="11"/>
  <c r="N69" i="11"/>
  <c r="O69" i="11"/>
  <c r="P69" i="11"/>
  <c r="Q69" i="11"/>
  <c r="O42" i="11"/>
  <c r="N27" i="11"/>
  <c r="O27" i="11"/>
  <c r="P27" i="11"/>
  <c r="Q27" i="11"/>
  <c r="N28" i="11"/>
  <c r="O28" i="11"/>
  <c r="P28" i="11"/>
  <c r="Q28" i="11"/>
  <c r="N29" i="11"/>
  <c r="O29" i="11"/>
  <c r="P29" i="11"/>
  <c r="Q29" i="11"/>
  <c r="N30" i="11"/>
  <c r="O30" i="11"/>
  <c r="P30" i="11"/>
  <c r="Q30" i="11"/>
  <c r="N31" i="11"/>
  <c r="O31" i="11"/>
  <c r="P31" i="11"/>
  <c r="Q31" i="11"/>
  <c r="N32" i="11"/>
  <c r="O32" i="11"/>
  <c r="P32" i="11"/>
  <c r="Q32" i="11"/>
  <c r="N33" i="11"/>
  <c r="O33" i="11"/>
  <c r="P33" i="11"/>
  <c r="Q33" i="11"/>
  <c r="N34" i="11"/>
  <c r="O34" i="11"/>
  <c r="P34" i="11"/>
  <c r="Q34" i="11"/>
  <c r="O35" i="11"/>
  <c r="P35" i="11"/>
  <c r="Q35" i="11"/>
  <c r="N36" i="11"/>
  <c r="O36" i="11"/>
  <c r="P36" i="11"/>
  <c r="Q36" i="11"/>
  <c r="N37" i="11"/>
  <c r="O37" i="11"/>
  <c r="P37" i="11"/>
  <c r="Q37" i="11"/>
  <c r="N38" i="11"/>
  <c r="O38" i="11"/>
  <c r="P38" i="11"/>
  <c r="Q38" i="11"/>
  <c r="N39" i="11"/>
  <c r="O39" i="11"/>
  <c r="P39" i="11"/>
  <c r="Q39" i="11"/>
  <c r="N40" i="11"/>
  <c r="O40" i="11"/>
  <c r="P40" i="11"/>
  <c r="Q40" i="11"/>
  <c r="N41" i="11"/>
  <c r="O41" i="11"/>
  <c r="P41" i="11"/>
  <c r="Q41" i="11"/>
  <c r="N42" i="11"/>
  <c r="P42" i="11"/>
  <c r="Q42" i="11"/>
  <c r="P14" i="11"/>
  <c r="N7" i="11"/>
  <c r="O7" i="11"/>
  <c r="P7" i="11"/>
  <c r="Q7" i="11"/>
  <c r="N8" i="11"/>
  <c r="O8" i="11"/>
  <c r="P8" i="11"/>
  <c r="Q8" i="11"/>
  <c r="N9" i="11"/>
  <c r="O9" i="11"/>
  <c r="P9" i="11"/>
  <c r="Q9" i="11"/>
  <c r="N10" i="11"/>
  <c r="O10" i="11"/>
  <c r="P10" i="11"/>
  <c r="Q10" i="11"/>
  <c r="N11" i="11"/>
  <c r="O11" i="11"/>
  <c r="P11" i="11"/>
  <c r="Q11" i="11"/>
  <c r="N12" i="11"/>
  <c r="O12" i="11"/>
  <c r="P12" i="11"/>
  <c r="Q12" i="11"/>
  <c r="N13" i="11"/>
  <c r="O13" i="11"/>
  <c r="P13" i="11"/>
  <c r="Q13" i="11"/>
  <c r="N14" i="11"/>
  <c r="O14" i="11"/>
  <c r="Q14" i="11"/>
  <c r="N15" i="11"/>
  <c r="O15" i="11"/>
  <c r="P15" i="11"/>
  <c r="Q15" i="11"/>
  <c r="N16" i="11"/>
  <c r="O16" i="11"/>
  <c r="P16" i="11"/>
  <c r="Q16" i="11"/>
  <c r="N17" i="11"/>
  <c r="O17" i="11"/>
  <c r="P17" i="11"/>
  <c r="Q17" i="11"/>
  <c r="N18" i="11"/>
  <c r="O18" i="11"/>
  <c r="P18" i="11"/>
  <c r="Q18" i="11"/>
  <c r="N19" i="11"/>
  <c r="O19" i="11"/>
  <c r="P19" i="11"/>
  <c r="Q19" i="11"/>
  <c r="N20" i="11"/>
  <c r="O20" i="11"/>
  <c r="P20" i="11"/>
  <c r="Q20" i="11"/>
  <c r="M80" i="6" l="1"/>
  <c r="L80" i="6"/>
  <c r="F80" i="6"/>
  <c r="G80" i="6" l="1"/>
  <c r="E80" i="6"/>
  <c r="D80" i="6"/>
  <c r="M117" i="10"/>
  <c r="N117" i="10"/>
  <c r="J80" i="6"/>
  <c r="H80" i="6" l="1"/>
  <c r="K80" i="6"/>
  <c r="I80" i="6"/>
  <c r="O139" i="1" l="1"/>
  <c r="M85" i="1"/>
  <c r="N55" i="1"/>
  <c r="O31" i="1"/>
  <c r="M31" i="1"/>
  <c r="O97" i="11" l="1"/>
  <c r="N75" i="11" l="1"/>
  <c r="O75" i="11"/>
  <c r="P75" i="11"/>
  <c r="Q75" i="11"/>
  <c r="N85" i="1" l="1"/>
  <c r="O85" i="1"/>
  <c r="P85" i="1"/>
  <c r="N171" i="6" l="1"/>
  <c r="N172" i="6"/>
  <c r="N173" i="6"/>
  <c r="N174" i="6"/>
  <c r="N175" i="6"/>
  <c r="N176" i="6"/>
  <c r="N177" i="6"/>
  <c r="N178" i="6"/>
  <c r="M140" i="6"/>
  <c r="N140" i="6"/>
  <c r="M141" i="6"/>
  <c r="N141" i="6"/>
  <c r="N139" i="6"/>
  <c r="N98" i="6"/>
  <c r="N99" i="6"/>
  <c r="L82" i="6"/>
  <c r="M82" i="6"/>
  <c r="N82" i="6"/>
  <c r="O82" i="6"/>
  <c r="L83" i="6"/>
  <c r="M83" i="6"/>
  <c r="N83" i="6"/>
  <c r="O83" i="6"/>
  <c r="L84" i="6"/>
  <c r="M84" i="6"/>
  <c r="N84" i="6"/>
  <c r="O84" i="6"/>
  <c r="L85" i="6"/>
  <c r="M85" i="6"/>
  <c r="N85" i="6"/>
  <c r="O85" i="6"/>
  <c r="N81" i="6"/>
  <c r="H140" i="6"/>
  <c r="I140" i="6"/>
  <c r="J140" i="6"/>
  <c r="K140" i="6"/>
  <c r="J141" i="6"/>
  <c r="K139" i="6"/>
  <c r="J139" i="6"/>
  <c r="I139" i="6"/>
  <c r="H139" i="6"/>
  <c r="J99" i="6"/>
  <c r="J100" i="6"/>
  <c r="J171" i="6"/>
  <c r="J172" i="6"/>
  <c r="J173" i="6"/>
  <c r="J174" i="6"/>
  <c r="H175" i="6"/>
  <c r="I175" i="6"/>
  <c r="J175" i="6"/>
  <c r="K175" i="6"/>
  <c r="H176" i="6"/>
  <c r="I176" i="6"/>
  <c r="J176" i="6"/>
  <c r="K176" i="6"/>
  <c r="H177" i="6"/>
  <c r="I177" i="6"/>
  <c r="J177" i="6"/>
  <c r="K177" i="6"/>
  <c r="J178" i="6"/>
  <c r="H82" i="6"/>
  <c r="I82" i="6"/>
  <c r="J82" i="6"/>
  <c r="K82" i="6"/>
  <c r="J83" i="6"/>
  <c r="J84" i="6"/>
  <c r="J85" i="6"/>
  <c r="F99" i="6"/>
  <c r="F100" i="6"/>
  <c r="F140" i="6"/>
  <c r="F141" i="6"/>
  <c r="F171" i="6"/>
  <c r="F172" i="6"/>
  <c r="F173" i="6"/>
  <c r="F174" i="6"/>
  <c r="F175" i="6"/>
  <c r="F176" i="6"/>
  <c r="F177" i="6"/>
  <c r="F178" i="6"/>
  <c r="F82" i="6"/>
  <c r="F83" i="6"/>
  <c r="F84" i="6"/>
  <c r="D85" i="6"/>
  <c r="E85" i="6"/>
  <c r="F85" i="6"/>
  <c r="G85" i="6"/>
  <c r="F139" i="6"/>
  <c r="F81" i="6"/>
  <c r="K81" i="6"/>
  <c r="J81" i="6"/>
  <c r="I81" i="6"/>
  <c r="H81" i="6"/>
  <c r="R139" i="6" l="1"/>
  <c r="R173" i="6"/>
  <c r="M81" i="6"/>
  <c r="O81" i="6"/>
  <c r="O141" i="6"/>
  <c r="O140" i="6"/>
  <c r="O178" i="6"/>
  <c r="L178" i="6"/>
  <c r="O176" i="6"/>
  <c r="L176" i="6"/>
  <c r="O174" i="6"/>
  <c r="L174" i="6"/>
  <c r="O172" i="6"/>
  <c r="L172" i="6"/>
  <c r="L81" i="6"/>
  <c r="L141" i="6"/>
  <c r="L140" i="6"/>
  <c r="O177" i="6"/>
  <c r="L177" i="6"/>
  <c r="O175" i="6"/>
  <c r="L175" i="6"/>
  <c r="O173" i="6"/>
  <c r="L173" i="6"/>
  <c r="O171" i="6"/>
  <c r="L171" i="6"/>
  <c r="K141" i="6"/>
  <c r="I141" i="6"/>
  <c r="H141" i="6"/>
  <c r="M139" i="6"/>
  <c r="L139" i="6"/>
  <c r="O139" i="6"/>
  <c r="L99" i="6"/>
  <c r="O99" i="6"/>
  <c r="M99" i="6"/>
  <c r="O98" i="6"/>
  <c r="M98" i="6"/>
  <c r="L98" i="6"/>
  <c r="E81" i="6"/>
  <c r="G81" i="6"/>
  <c r="D81" i="6"/>
  <c r="G82" i="6"/>
  <c r="S82" i="6" s="1"/>
  <c r="E82" i="6"/>
  <c r="Q82" i="6" s="1"/>
  <c r="G178" i="6"/>
  <c r="E178" i="6"/>
  <c r="G177" i="6"/>
  <c r="E177" i="6"/>
  <c r="G176" i="6"/>
  <c r="E176" i="6"/>
  <c r="G175" i="6"/>
  <c r="E175" i="6"/>
  <c r="G174" i="6"/>
  <c r="E174" i="6"/>
  <c r="G173" i="6"/>
  <c r="E173" i="6"/>
  <c r="G172" i="6"/>
  <c r="E172" i="6"/>
  <c r="G171" i="6"/>
  <c r="E171" i="6"/>
  <c r="G141" i="6"/>
  <c r="E141" i="6"/>
  <c r="G140" i="6"/>
  <c r="E140" i="6"/>
  <c r="Q140" i="6" s="1"/>
  <c r="G100" i="6"/>
  <c r="E100" i="6"/>
  <c r="G99" i="6"/>
  <c r="E99" i="6"/>
  <c r="D82" i="6"/>
  <c r="P82" i="6" s="1"/>
  <c r="D178" i="6"/>
  <c r="D177" i="6"/>
  <c r="D176" i="6"/>
  <c r="P176" i="6" s="1"/>
  <c r="D175" i="6"/>
  <c r="D174" i="6"/>
  <c r="D173" i="6"/>
  <c r="D172" i="6"/>
  <c r="D171" i="6"/>
  <c r="D141" i="6"/>
  <c r="D140" i="6"/>
  <c r="D100" i="6"/>
  <c r="D99" i="6"/>
  <c r="D139" i="6"/>
  <c r="E139" i="6"/>
  <c r="G139" i="6"/>
  <c r="D84" i="6"/>
  <c r="G84" i="6"/>
  <c r="E84" i="6"/>
  <c r="G83" i="6"/>
  <c r="E83" i="6"/>
  <c r="D83" i="6"/>
  <c r="R82" i="6"/>
  <c r="K83" i="6"/>
  <c r="I83" i="6"/>
  <c r="H83" i="6"/>
  <c r="K100" i="6"/>
  <c r="I100" i="6"/>
  <c r="H100" i="6"/>
  <c r="K99" i="6"/>
  <c r="I99" i="6"/>
  <c r="H99" i="6"/>
  <c r="K173" i="6"/>
  <c r="I173" i="6"/>
  <c r="H173" i="6"/>
  <c r="K174" i="6"/>
  <c r="I174" i="6"/>
  <c r="H174" i="6"/>
  <c r="K178" i="6"/>
  <c r="I178" i="6"/>
  <c r="H178" i="6"/>
  <c r="K85" i="6"/>
  <c r="S85" i="6" s="1"/>
  <c r="I85" i="6"/>
  <c r="Q85" i="6" s="1"/>
  <c r="H85" i="6"/>
  <c r="P85" i="6" s="1"/>
  <c r="K84" i="6"/>
  <c r="I84" i="6"/>
  <c r="H84" i="6"/>
  <c r="R85" i="6"/>
  <c r="R99" i="6"/>
  <c r="R175" i="6"/>
  <c r="R84" i="6"/>
  <c r="K171" i="6"/>
  <c r="I171" i="6"/>
  <c r="H171" i="6"/>
  <c r="H172" i="6"/>
  <c r="K172" i="6"/>
  <c r="I172" i="6"/>
  <c r="R177" i="6"/>
  <c r="R141" i="6"/>
  <c r="R171" i="6"/>
  <c r="M178" i="6"/>
  <c r="M177" i="6"/>
  <c r="M176" i="6"/>
  <c r="M175" i="6"/>
  <c r="M174" i="6"/>
  <c r="M173" i="6"/>
  <c r="M172" i="6"/>
  <c r="R81" i="6"/>
  <c r="R178" i="6"/>
  <c r="R176" i="6"/>
  <c r="R174" i="6"/>
  <c r="R172" i="6"/>
  <c r="R140" i="6"/>
  <c r="R83" i="6"/>
  <c r="M171" i="6"/>
  <c r="Q177" i="6" l="1"/>
  <c r="P84" i="6"/>
  <c r="P174" i="6"/>
  <c r="Q175" i="6"/>
  <c r="S172" i="6"/>
  <c r="P171" i="6"/>
  <c r="S171" i="6"/>
  <c r="P81" i="6"/>
  <c r="Q81" i="6"/>
  <c r="P140" i="6"/>
  <c r="P141" i="6"/>
  <c r="Q176" i="6"/>
  <c r="S81" i="6"/>
  <c r="P172" i="6"/>
  <c r="P178" i="6"/>
  <c r="S178" i="6"/>
  <c r="P173" i="6"/>
  <c r="P175" i="6"/>
  <c r="P177" i="6"/>
  <c r="S175" i="6"/>
  <c r="S176" i="6"/>
  <c r="S177" i="6"/>
  <c r="S140" i="6"/>
  <c r="S84" i="6"/>
  <c r="Q173" i="6"/>
  <c r="S141" i="6"/>
  <c r="Q141" i="6"/>
  <c r="Q171" i="6"/>
  <c r="S173" i="6"/>
  <c r="S174" i="6"/>
  <c r="P139" i="6"/>
  <c r="Q139" i="6"/>
  <c r="Q83" i="6"/>
  <c r="P99" i="6"/>
  <c r="Q84" i="6"/>
  <c r="S139" i="6"/>
  <c r="Q99" i="6"/>
  <c r="S99" i="6"/>
  <c r="P83" i="6"/>
  <c r="S83" i="6"/>
  <c r="Q174" i="6"/>
  <c r="Q178" i="6"/>
  <c r="Q172" i="6"/>
  <c r="J22" i="6"/>
  <c r="N185" i="6"/>
  <c r="N111" i="6"/>
  <c r="N110" i="6"/>
  <c r="N22" i="6"/>
  <c r="J185" i="6"/>
  <c r="J111" i="6"/>
  <c r="F111" i="6"/>
  <c r="F22" i="6"/>
  <c r="F185" i="6"/>
  <c r="F109" i="6"/>
  <c r="J109" i="6"/>
  <c r="L111" i="6" l="1"/>
  <c r="O111" i="6"/>
  <c r="M111" i="6"/>
  <c r="G109" i="6"/>
  <c r="E109" i="6"/>
  <c r="D109" i="6"/>
  <c r="L22" i="6"/>
  <c r="O22" i="6"/>
  <c r="M22" i="6"/>
  <c r="O110" i="6"/>
  <c r="M110" i="6"/>
  <c r="L110" i="6"/>
  <c r="O185" i="6"/>
  <c r="K22" i="6"/>
  <c r="I22" i="6"/>
  <c r="D22" i="6"/>
  <c r="G22" i="6"/>
  <c r="E22" i="6"/>
  <c r="G111" i="6"/>
  <c r="E111" i="6"/>
  <c r="D111" i="6"/>
  <c r="G185" i="6"/>
  <c r="E185" i="6"/>
  <c r="D185" i="6"/>
  <c r="L185" i="6"/>
  <c r="H109" i="6"/>
  <c r="H22" i="6"/>
  <c r="K111" i="6"/>
  <c r="I111" i="6"/>
  <c r="K185" i="6"/>
  <c r="I185" i="6"/>
  <c r="H111" i="6"/>
  <c r="H185" i="6"/>
  <c r="K109" i="6"/>
  <c r="I109" i="6"/>
  <c r="R22" i="6"/>
  <c r="R111" i="6"/>
  <c r="R185" i="6"/>
  <c r="Q111" i="6" l="1"/>
  <c r="Q22" i="6"/>
  <c r="S22" i="6"/>
  <c r="M185" i="6"/>
  <c r="Q185" i="6" s="1"/>
  <c r="P22" i="6"/>
  <c r="S185" i="6"/>
  <c r="P111" i="6"/>
  <c r="S111" i="6"/>
  <c r="P185" i="6"/>
  <c r="M5" i="10"/>
  <c r="N5" i="10"/>
  <c r="O5" i="10"/>
  <c r="P5" i="10"/>
  <c r="M25" i="10"/>
  <c r="N25" i="10"/>
  <c r="O25" i="10"/>
  <c r="P25" i="10"/>
  <c r="M48" i="10"/>
  <c r="N48" i="10"/>
  <c r="O48" i="10"/>
  <c r="P48" i="10"/>
  <c r="H65" i="6"/>
  <c r="I65" i="6"/>
  <c r="J65" i="6"/>
  <c r="K65" i="6"/>
  <c r="J66" i="6"/>
  <c r="H67" i="6"/>
  <c r="I67" i="6"/>
  <c r="J67" i="6"/>
  <c r="K67" i="6"/>
  <c r="J68" i="6"/>
  <c r="J69" i="6"/>
  <c r="J70" i="6"/>
  <c r="H71" i="6"/>
  <c r="I71" i="6"/>
  <c r="J71" i="6"/>
  <c r="K71" i="6"/>
  <c r="H72" i="6"/>
  <c r="I72" i="6"/>
  <c r="J72" i="6"/>
  <c r="K72" i="6"/>
  <c r="H73" i="6"/>
  <c r="I73" i="6"/>
  <c r="J73" i="6"/>
  <c r="K73" i="6"/>
  <c r="H74" i="6"/>
  <c r="I74" i="6"/>
  <c r="J74" i="6"/>
  <c r="K74" i="6"/>
  <c r="J75" i="6"/>
  <c r="H76" i="6"/>
  <c r="I76" i="6"/>
  <c r="J76" i="6"/>
  <c r="K76" i="6"/>
  <c r="H77" i="6"/>
  <c r="I77" i="6"/>
  <c r="J77" i="6"/>
  <c r="K77" i="6"/>
  <c r="H78" i="6"/>
  <c r="I78" i="6"/>
  <c r="J78" i="6"/>
  <c r="K78" i="6"/>
  <c r="H79" i="6"/>
  <c r="I79" i="6"/>
  <c r="J79" i="6"/>
  <c r="K79" i="6"/>
  <c r="N78" i="10"/>
  <c r="O78" i="10"/>
  <c r="P78" i="10"/>
  <c r="J96" i="6"/>
  <c r="H97" i="6"/>
  <c r="I97" i="6"/>
  <c r="J97" i="6"/>
  <c r="K97" i="6"/>
  <c r="H98" i="6"/>
  <c r="I98" i="6"/>
  <c r="J98" i="6"/>
  <c r="K98" i="6"/>
  <c r="J110" i="6"/>
  <c r="M99" i="10"/>
  <c r="N99" i="10"/>
  <c r="O99" i="10"/>
  <c r="P99" i="10"/>
  <c r="H138" i="6"/>
  <c r="I138" i="6"/>
  <c r="J138" i="6"/>
  <c r="K138" i="6"/>
  <c r="O117" i="10"/>
  <c r="P117" i="10"/>
  <c r="H96" i="6" l="1"/>
  <c r="K96" i="6"/>
  <c r="I96" i="6"/>
  <c r="H68" i="6"/>
  <c r="K68" i="6"/>
  <c r="I68" i="6"/>
  <c r="K70" i="6"/>
  <c r="I70" i="6"/>
  <c r="H70" i="6"/>
  <c r="K75" i="6"/>
  <c r="I75" i="6"/>
  <c r="H75" i="6"/>
  <c r="H66" i="6"/>
  <c r="K66" i="6"/>
  <c r="I66" i="6"/>
  <c r="I69" i="6"/>
  <c r="H69" i="6"/>
  <c r="K110" i="6"/>
  <c r="I110" i="6"/>
  <c r="H110" i="6"/>
  <c r="K69" i="6" l="1"/>
  <c r="M7" i="1"/>
  <c r="N7" i="1"/>
  <c r="O7" i="1"/>
  <c r="P7" i="1"/>
  <c r="Q6" i="11" l="1"/>
  <c r="N113" i="1" l="1"/>
  <c r="N139" i="1"/>
  <c r="M139" i="1"/>
  <c r="E138" i="6" l="1"/>
  <c r="E78" i="6"/>
  <c r="E66" i="6"/>
  <c r="G138" i="6"/>
  <c r="E97" i="6"/>
  <c r="E77" i="6"/>
  <c r="E69" i="6"/>
  <c r="E67" i="6"/>
  <c r="E71" i="6"/>
  <c r="E98" i="6"/>
  <c r="Q98" i="6" s="1"/>
  <c r="E110" i="6"/>
  <c r="Q110" i="6" s="1"/>
  <c r="E72" i="6"/>
  <c r="E79" i="6"/>
  <c r="E96" i="6"/>
  <c r="E68" i="6"/>
  <c r="E76" i="6"/>
  <c r="E74" i="6"/>
  <c r="E65" i="6"/>
  <c r="E73" i="6"/>
  <c r="E75" i="6"/>
  <c r="E70" i="6"/>
  <c r="P6" i="11" l="1"/>
  <c r="O6" i="11"/>
  <c r="N6" i="11"/>
  <c r="Q26" i="11"/>
  <c r="P26" i="11"/>
  <c r="O26" i="11"/>
  <c r="N26" i="11"/>
  <c r="Q48" i="11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P48" i="11"/>
  <c r="O48" i="11"/>
  <c r="N48" i="11"/>
  <c r="O96" i="6"/>
  <c r="N96" i="6"/>
  <c r="N97" i="6"/>
  <c r="N100" i="6"/>
  <c r="R100" i="6" s="1"/>
  <c r="N109" i="6"/>
  <c r="R109" i="6" s="1"/>
  <c r="M96" i="6"/>
  <c r="Q96" i="6" s="1"/>
  <c r="L96" i="6"/>
  <c r="Q115" i="11"/>
  <c r="P115" i="11"/>
  <c r="O115" i="11"/>
  <c r="N115" i="11"/>
  <c r="Q97" i="11"/>
  <c r="N138" i="6"/>
  <c r="P97" i="11"/>
  <c r="N97" i="11"/>
  <c r="M74" i="6" l="1"/>
  <c r="Q74" i="6" s="1"/>
  <c r="O74" i="6"/>
  <c r="L74" i="6"/>
  <c r="M78" i="6"/>
  <c r="Q78" i="6" s="1"/>
  <c r="O78" i="6"/>
  <c r="L78" i="6"/>
  <c r="L68" i="6"/>
  <c r="L66" i="6"/>
  <c r="M67" i="6"/>
  <c r="Q67" i="6" s="1"/>
  <c r="O67" i="6"/>
  <c r="L67" i="6"/>
  <c r="M68" i="6"/>
  <c r="Q68" i="6" s="1"/>
  <c r="M66" i="6"/>
  <c r="Q66" i="6" s="1"/>
  <c r="O68" i="6"/>
  <c r="O66" i="6"/>
  <c r="M72" i="6"/>
  <c r="Q72" i="6" s="1"/>
  <c r="O72" i="6"/>
  <c r="L72" i="6"/>
  <c r="L79" i="6"/>
  <c r="M79" i="6"/>
  <c r="Q79" i="6" s="1"/>
  <c r="O79" i="6"/>
  <c r="L77" i="6"/>
  <c r="M77" i="6"/>
  <c r="Q77" i="6" s="1"/>
  <c r="O77" i="6"/>
  <c r="L73" i="6"/>
  <c r="M73" i="6"/>
  <c r="Q73" i="6" s="1"/>
  <c r="O73" i="6"/>
  <c r="M76" i="6"/>
  <c r="Q76" i="6" s="1"/>
  <c r="O76" i="6"/>
  <c r="L76" i="6"/>
  <c r="L109" i="6"/>
  <c r="P109" i="6" s="1"/>
  <c r="M109" i="6"/>
  <c r="Q109" i="6" s="1"/>
  <c r="O109" i="6"/>
  <c r="S109" i="6" s="1"/>
  <c r="M138" i="6"/>
  <c r="Q138" i="6" s="1"/>
  <c r="L138" i="6"/>
  <c r="O138" i="6"/>
  <c r="S138" i="6" s="1"/>
  <c r="L97" i="6"/>
  <c r="M97" i="6"/>
  <c r="Q97" i="6" s="1"/>
  <c r="O97" i="6"/>
  <c r="L100" i="6"/>
  <c r="P100" i="6" s="1"/>
  <c r="M100" i="6"/>
  <c r="Q100" i="6" s="1"/>
  <c r="O100" i="6"/>
  <c r="S100" i="6" s="1"/>
  <c r="L75" i="6"/>
  <c r="M75" i="6"/>
  <c r="Q75" i="6" s="1"/>
  <c r="O75" i="6"/>
  <c r="L65" i="6"/>
  <c r="M65" i="6"/>
  <c r="Q65" i="6" s="1"/>
  <c r="O65" i="6"/>
  <c r="L71" i="6"/>
  <c r="M71" i="6"/>
  <c r="Q71" i="6" s="1"/>
  <c r="O71" i="6"/>
  <c r="L69" i="6"/>
  <c r="M69" i="6"/>
  <c r="Q69" i="6" s="1"/>
  <c r="O69" i="6"/>
  <c r="Q80" i="6"/>
  <c r="O80" i="6"/>
  <c r="M70" i="6"/>
  <c r="Q70" i="6" s="1"/>
  <c r="O70" i="6"/>
  <c r="L70" i="6"/>
  <c r="O169" i="6" l="1"/>
  <c r="O170" i="6"/>
  <c r="O179" i="6"/>
  <c r="O180" i="6"/>
  <c r="O181" i="6"/>
  <c r="O182" i="6"/>
  <c r="O183" i="6"/>
  <c r="O184" i="6"/>
  <c r="N184" i="6"/>
  <c r="N169" i="6"/>
  <c r="N170" i="6"/>
  <c r="N179" i="6"/>
  <c r="N180" i="6"/>
  <c r="N181" i="6"/>
  <c r="N182" i="6"/>
  <c r="N183" i="6"/>
  <c r="M169" i="6"/>
  <c r="M170" i="6"/>
  <c r="M179" i="6"/>
  <c r="M180" i="6"/>
  <c r="M181" i="6"/>
  <c r="M182" i="6"/>
  <c r="M183" i="6"/>
  <c r="M184" i="6"/>
  <c r="L181" i="6"/>
  <c r="L182" i="6"/>
  <c r="L183" i="6"/>
  <c r="L184" i="6"/>
  <c r="L169" i="6"/>
  <c r="L170" i="6"/>
  <c r="L179" i="6"/>
  <c r="L180" i="6"/>
  <c r="K184" i="6"/>
  <c r="K169" i="6"/>
  <c r="K170" i="6"/>
  <c r="K179" i="6"/>
  <c r="K180" i="6"/>
  <c r="K181" i="6"/>
  <c r="K182" i="6"/>
  <c r="K183" i="6"/>
  <c r="J169" i="6"/>
  <c r="J170" i="6"/>
  <c r="J179" i="6"/>
  <c r="J180" i="6"/>
  <c r="J181" i="6"/>
  <c r="J182" i="6"/>
  <c r="J183" i="6"/>
  <c r="J184" i="6"/>
  <c r="I169" i="6"/>
  <c r="I170" i="6"/>
  <c r="I179" i="6"/>
  <c r="I180" i="6"/>
  <c r="I181" i="6"/>
  <c r="I182" i="6"/>
  <c r="I183" i="6"/>
  <c r="I184" i="6"/>
  <c r="H169" i="6"/>
  <c r="H170" i="6"/>
  <c r="H179" i="6"/>
  <c r="H180" i="6"/>
  <c r="H181" i="6"/>
  <c r="H182" i="6"/>
  <c r="H183" i="6"/>
  <c r="H184" i="6"/>
  <c r="G169" i="6"/>
  <c r="G170" i="6"/>
  <c r="G179" i="6"/>
  <c r="G180" i="6"/>
  <c r="G181" i="6"/>
  <c r="G182" i="6"/>
  <c r="G183" i="6"/>
  <c r="G184" i="6"/>
  <c r="F183" i="6"/>
  <c r="F184" i="6"/>
  <c r="F169" i="6"/>
  <c r="F170" i="6"/>
  <c r="F179" i="6"/>
  <c r="F180" i="6"/>
  <c r="F181" i="6"/>
  <c r="F182" i="6"/>
  <c r="E181" i="6"/>
  <c r="E182" i="6"/>
  <c r="E183" i="6"/>
  <c r="E184" i="6"/>
  <c r="E169" i="6"/>
  <c r="E170" i="6"/>
  <c r="E179" i="6"/>
  <c r="E180" i="6"/>
  <c r="D184" i="6"/>
  <c r="D169" i="6"/>
  <c r="D170" i="6"/>
  <c r="D179" i="6"/>
  <c r="D180" i="6"/>
  <c r="D181" i="6"/>
  <c r="D182" i="6"/>
  <c r="D183" i="6"/>
  <c r="Q179" i="6" l="1"/>
  <c r="S181" i="6"/>
  <c r="S169" i="6"/>
  <c r="P181" i="6"/>
  <c r="R184" i="6"/>
  <c r="Q183" i="6"/>
  <c r="R180" i="6"/>
  <c r="S184" i="6"/>
  <c r="S180" i="6"/>
  <c r="S183" i="6"/>
  <c r="S179" i="6"/>
  <c r="S182" i="6"/>
  <c r="S170" i="6"/>
  <c r="R183" i="6"/>
  <c r="R179" i="6"/>
  <c r="R182" i="6"/>
  <c r="R170" i="6"/>
  <c r="R181" i="6"/>
  <c r="R169" i="6"/>
  <c r="Q180" i="6"/>
  <c r="Q182" i="6"/>
  <c r="Q170" i="6"/>
  <c r="Q184" i="6"/>
  <c r="Q181" i="6"/>
  <c r="Q169" i="6"/>
  <c r="P179" i="6"/>
  <c r="P170" i="6"/>
  <c r="P182" i="6"/>
  <c r="P169" i="6"/>
  <c r="P183" i="6"/>
  <c r="P180" i="6"/>
  <c r="P184" i="6"/>
  <c r="O168" i="6" l="1"/>
  <c r="N168" i="6"/>
  <c r="O167" i="6"/>
  <c r="N167" i="6"/>
  <c r="O166" i="6"/>
  <c r="N166" i="6"/>
  <c r="O165" i="6"/>
  <c r="N165" i="6"/>
  <c r="O164" i="6"/>
  <c r="N164" i="6"/>
  <c r="O163" i="6"/>
  <c r="N163" i="6"/>
  <c r="O162" i="6"/>
  <c r="N162" i="6"/>
  <c r="O161" i="6"/>
  <c r="N161" i="6"/>
  <c r="O160" i="6"/>
  <c r="N160" i="6"/>
  <c r="O159" i="6"/>
  <c r="N159" i="6"/>
  <c r="O158" i="6"/>
  <c r="N158" i="6"/>
  <c r="O157" i="6"/>
  <c r="N157" i="6"/>
  <c r="O136" i="6"/>
  <c r="N136" i="6"/>
  <c r="O137" i="6"/>
  <c r="N137" i="6"/>
  <c r="O135" i="6"/>
  <c r="N135" i="6"/>
  <c r="O134" i="6"/>
  <c r="N134" i="6"/>
  <c r="O133" i="6"/>
  <c r="N133" i="6"/>
  <c r="O132" i="6"/>
  <c r="N132" i="6"/>
  <c r="O131" i="6"/>
  <c r="N131" i="6"/>
  <c r="O130" i="6"/>
  <c r="N130" i="6"/>
  <c r="O129" i="6"/>
  <c r="N129" i="6"/>
  <c r="O108" i="6"/>
  <c r="N108" i="6"/>
  <c r="O107" i="6"/>
  <c r="N107" i="6"/>
  <c r="O106" i="6"/>
  <c r="N106" i="6"/>
  <c r="O105" i="6"/>
  <c r="N105" i="6"/>
  <c r="O104" i="6"/>
  <c r="N104" i="6"/>
  <c r="O103" i="6"/>
  <c r="N103" i="6"/>
  <c r="O102" i="6"/>
  <c r="N102" i="6"/>
  <c r="O101" i="6"/>
  <c r="N101" i="6"/>
  <c r="O95" i="6"/>
  <c r="N95" i="6"/>
  <c r="O64" i="6"/>
  <c r="N64" i="6"/>
  <c r="O54" i="6"/>
  <c r="N54" i="6"/>
  <c r="M54" i="6"/>
  <c r="L54" i="6"/>
  <c r="O53" i="6"/>
  <c r="N53" i="6"/>
  <c r="M53" i="6"/>
  <c r="L53" i="6"/>
  <c r="O52" i="6"/>
  <c r="N52" i="6"/>
  <c r="M52" i="6"/>
  <c r="L52" i="6"/>
  <c r="O51" i="6"/>
  <c r="N51" i="6"/>
  <c r="M51" i="6"/>
  <c r="L51" i="6"/>
  <c r="O50" i="6"/>
  <c r="N50" i="6"/>
  <c r="M50" i="6"/>
  <c r="L50" i="6"/>
  <c r="O49" i="6"/>
  <c r="N49" i="6"/>
  <c r="M49" i="6"/>
  <c r="L49" i="6"/>
  <c r="O48" i="6"/>
  <c r="N48" i="6"/>
  <c r="M48" i="6"/>
  <c r="L48" i="6"/>
  <c r="O47" i="6"/>
  <c r="N47" i="6"/>
  <c r="M47" i="6"/>
  <c r="L47" i="6"/>
  <c r="O46" i="6"/>
  <c r="N46" i="6"/>
  <c r="M46" i="6"/>
  <c r="L46" i="6"/>
  <c r="O45" i="6"/>
  <c r="N45" i="6"/>
  <c r="M45" i="6"/>
  <c r="L45" i="6"/>
  <c r="O44" i="6"/>
  <c r="N44" i="6"/>
  <c r="M44" i="6"/>
  <c r="L44" i="6"/>
  <c r="O43" i="6"/>
  <c r="N43" i="6"/>
  <c r="M43" i="6"/>
  <c r="L43" i="6"/>
  <c r="O42" i="6"/>
  <c r="N42" i="6"/>
  <c r="M42" i="6"/>
  <c r="L42" i="6"/>
  <c r="O41" i="6"/>
  <c r="N41" i="6"/>
  <c r="M41" i="6"/>
  <c r="L41" i="6"/>
  <c r="O40" i="6"/>
  <c r="N40" i="6"/>
  <c r="M40" i="6"/>
  <c r="L40" i="6"/>
  <c r="O39" i="6"/>
  <c r="N39" i="6"/>
  <c r="M39" i="6"/>
  <c r="L39" i="6"/>
  <c r="O38" i="6"/>
  <c r="N38" i="6"/>
  <c r="M38" i="6"/>
  <c r="L38" i="6"/>
  <c r="O21" i="6"/>
  <c r="N21" i="6"/>
  <c r="M21" i="6"/>
  <c r="L21" i="6"/>
  <c r="O20" i="6"/>
  <c r="N20" i="6"/>
  <c r="M20" i="6"/>
  <c r="L20" i="6"/>
  <c r="O19" i="6"/>
  <c r="N19" i="6"/>
  <c r="M19" i="6"/>
  <c r="L19" i="6"/>
  <c r="O18" i="6"/>
  <c r="N18" i="6"/>
  <c r="M18" i="6"/>
  <c r="L18" i="6"/>
  <c r="O17" i="6"/>
  <c r="N17" i="6"/>
  <c r="M17" i="6"/>
  <c r="L17" i="6"/>
  <c r="O16" i="6"/>
  <c r="N16" i="6"/>
  <c r="M16" i="6"/>
  <c r="L16" i="6"/>
  <c r="O15" i="6"/>
  <c r="N15" i="6"/>
  <c r="M15" i="6"/>
  <c r="L15" i="6"/>
  <c r="O14" i="6"/>
  <c r="N14" i="6"/>
  <c r="M14" i="6"/>
  <c r="L14" i="6"/>
  <c r="O13" i="6"/>
  <c r="N13" i="6"/>
  <c r="M13" i="6"/>
  <c r="L13" i="6"/>
  <c r="O12" i="6"/>
  <c r="N12" i="6"/>
  <c r="M12" i="6"/>
  <c r="L12" i="6"/>
  <c r="O11" i="6"/>
  <c r="N11" i="6"/>
  <c r="M11" i="6"/>
  <c r="L11" i="6"/>
  <c r="O10" i="6"/>
  <c r="N10" i="6"/>
  <c r="M10" i="6"/>
  <c r="L10" i="6"/>
  <c r="O9" i="6"/>
  <c r="N9" i="6"/>
  <c r="M9" i="6"/>
  <c r="L9" i="6"/>
  <c r="O8" i="6"/>
  <c r="N8" i="6"/>
  <c r="M8" i="6"/>
  <c r="L8" i="6"/>
  <c r="J168" i="6"/>
  <c r="J167" i="6"/>
  <c r="J166" i="6"/>
  <c r="J165" i="6"/>
  <c r="J164" i="6"/>
  <c r="J163" i="6"/>
  <c r="J162" i="6"/>
  <c r="J161" i="6"/>
  <c r="J160" i="6"/>
  <c r="J159" i="6"/>
  <c r="J158" i="6"/>
  <c r="J157" i="6"/>
  <c r="J136" i="6"/>
  <c r="J137" i="6"/>
  <c r="J135" i="6"/>
  <c r="J134" i="6"/>
  <c r="J133" i="6"/>
  <c r="J132" i="6"/>
  <c r="J131" i="6"/>
  <c r="K130" i="6"/>
  <c r="J130" i="6"/>
  <c r="J129" i="6"/>
  <c r="J108" i="6"/>
  <c r="J107" i="6"/>
  <c r="J106" i="6"/>
  <c r="J105" i="6"/>
  <c r="J104" i="6"/>
  <c r="J103" i="6"/>
  <c r="J102" i="6"/>
  <c r="J101" i="6"/>
  <c r="J95" i="6"/>
  <c r="J64" i="6"/>
  <c r="J54" i="6"/>
  <c r="J53" i="6"/>
  <c r="J52" i="6"/>
  <c r="J51" i="6"/>
  <c r="J50" i="6"/>
  <c r="J49" i="6"/>
  <c r="J48" i="6"/>
  <c r="J47" i="6"/>
  <c r="J46" i="6"/>
  <c r="J45" i="6"/>
  <c r="J44" i="6"/>
  <c r="J43" i="6"/>
  <c r="J42" i="6"/>
  <c r="J41" i="6"/>
  <c r="J40" i="6"/>
  <c r="J39" i="6"/>
  <c r="J38" i="6"/>
  <c r="J21" i="6"/>
  <c r="J20" i="6"/>
  <c r="J19" i="6"/>
  <c r="J18" i="6"/>
  <c r="J17" i="6"/>
  <c r="J16" i="6"/>
  <c r="J15" i="6"/>
  <c r="J14" i="6"/>
  <c r="J13" i="6"/>
  <c r="J12" i="6"/>
  <c r="J11" i="6"/>
  <c r="J10" i="6"/>
  <c r="J9" i="6"/>
  <c r="J8" i="6"/>
  <c r="F158" i="6"/>
  <c r="F159" i="6"/>
  <c r="F160" i="6"/>
  <c r="F161" i="6"/>
  <c r="F162" i="6"/>
  <c r="F163" i="6"/>
  <c r="F164" i="6"/>
  <c r="F165" i="6"/>
  <c r="F166" i="6"/>
  <c r="F167" i="6"/>
  <c r="F168" i="6"/>
  <c r="D162" i="6"/>
  <c r="P139" i="1"/>
  <c r="F157" i="6"/>
  <c r="G130" i="6"/>
  <c r="G131" i="6"/>
  <c r="G132" i="6"/>
  <c r="G133" i="6"/>
  <c r="G134" i="6"/>
  <c r="G135" i="6"/>
  <c r="G137" i="6"/>
  <c r="G136" i="6"/>
  <c r="F130" i="6"/>
  <c r="F131" i="6"/>
  <c r="F132" i="6"/>
  <c r="F133" i="6"/>
  <c r="F134" i="6"/>
  <c r="F135" i="6"/>
  <c r="F137" i="6"/>
  <c r="F138" i="6"/>
  <c r="R138" i="6" s="1"/>
  <c r="F136" i="6"/>
  <c r="D130" i="6"/>
  <c r="D131" i="6"/>
  <c r="D132" i="6"/>
  <c r="D133" i="6"/>
  <c r="D134" i="6"/>
  <c r="D135" i="6"/>
  <c r="D137" i="6"/>
  <c r="D138" i="6"/>
  <c r="P138" i="6" s="1"/>
  <c r="D136" i="6"/>
  <c r="P113" i="1"/>
  <c r="O113" i="1"/>
  <c r="F129" i="6" s="1"/>
  <c r="M113" i="1"/>
  <c r="F96" i="6"/>
  <c r="R96" i="6" s="1"/>
  <c r="F97" i="6"/>
  <c r="R97" i="6" s="1"/>
  <c r="F98" i="6"/>
  <c r="R98" i="6" s="1"/>
  <c r="F101" i="6"/>
  <c r="F102" i="6"/>
  <c r="F108" i="6"/>
  <c r="F110" i="6"/>
  <c r="R110" i="6" s="1"/>
  <c r="F95" i="6"/>
  <c r="F65" i="6"/>
  <c r="R65" i="6" s="1"/>
  <c r="F66" i="6"/>
  <c r="R66" i="6" s="1"/>
  <c r="F67" i="6"/>
  <c r="R67" i="6" s="1"/>
  <c r="F68" i="6"/>
  <c r="R68" i="6" s="1"/>
  <c r="F69" i="6"/>
  <c r="R69" i="6" s="1"/>
  <c r="F70" i="6"/>
  <c r="R70" i="6" s="1"/>
  <c r="F71" i="6"/>
  <c r="R71" i="6" s="1"/>
  <c r="F72" i="6"/>
  <c r="R72" i="6" s="1"/>
  <c r="F73" i="6"/>
  <c r="R73" i="6" s="1"/>
  <c r="F74" i="6"/>
  <c r="R74" i="6" s="1"/>
  <c r="F75" i="6"/>
  <c r="R75" i="6" s="1"/>
  <c r="F76" i="6"/>
  <c r="R76" i="6" s="1"/>
  <c r="F77" i="6"/>
  <c r="R77" i="6" s="1"/>
  <c r="F78" i="6"/>
  <c r="R78" i="6" s="1"/>
  <c r="F79" i="6"/>
  <c r="R79" i="6" s="1"/>
  <c r="R80" i="6"/>
  <c r="D69" i="6"/>
  <c r="P69" i="6" s="1"/>
  <c r="P55" i="1"/>
  <c r="O55" i="1"/>
  <c r="F64" i="6" s="1"/>
  <c r="F49" i="6"/>
  <c r="F50" i="6"/>
  <c r="F51" i="6"/>
  <c r="F52" i="6"/>
  <c r="F53" i="6"/>
  <c r="F54" i="6"/>
  <c r="F39" i="6"/>
  <c r="F40" i="6"/>
  <c r="F41" i="6"/>
  <c r="F42" i="6"/>
  <c r="F44" i="6"/>
  <c r="F45" i="6"/>
  <c r="F47" i="6"/>
  <c r="F48" i="6"/>
  <c r="P31" i="1"/>
  <c r="F38" i="6"/>
  <c r="N31" i="1"/>
  <c r="G10" i="6"/>
  <c r="G12" i="6"/>
  <c r="G13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8" i="6"/>
  <c r="E10" i="6"/>
  <c r="E12" i="6"/>
  <c r="E13" i="6"/>
  <c r="D10" i="6"/>
  <c r="D12" i="6"/>
  <c r="D13" i="6"/>
  <c r="P80" i="6" l="1"/>
  <c r="D78" i="6"/>
  <c r="P78" i="6" s="1"/>
  <c r="D66" i="6"/>
  <c r="P66" i="6" s="1"/>
  <c r="S80" i="6"/>
  <c r="G78" i="6"/>
  <c r="S78" i="6" s="1"/>
  <c r="G66" i="6"/>
  <c r="S66" i="6" s="1"/>
  <c r="D77" i="6"/>
  <c r="P77" i="6" s="1"/>
  <c r="D67" i="6"/>
  <c r="P67" i="6" s="1"/>
  <c r="G77" i="6"/>
  <c r="S77" i="6" s="1"/>
  <c r="G69" i="6"/>
  <c r="S69" i="6" s="1"/>
  <c r="G67" i="6"/>
  <c r="S67" i="6" s="1"/>
  <c r="D97" i="6"/>
  <c r="P97" i="6" s="1"/>
  <c r="G97" i="6"/>
  <c r="S97" i="6" s="1"/>
  <c r="D71" i="6"/>
  <c r="P71" i="6" s="1"/>
  <c r="G71" i="6"/>
  <c r="S71" i="6" s="1"/>
  <c r="G98" i="6"/>
  <c r="S98" i="6" s="1"/>
  <c r="D98" i="6"/>
  <c r="P98" i="6" s="1"/>
  <c r="D110" i="6"/>
  <c r="P110" i="6" s="1"/>
  <c r="G110" i="6"/>
  <c r="S110" i="6" s="1"/>
  <c r="G72" i="6"/>
  <c r="S72" i="6" s="1"/>
  <c r="D72" i="6"/>
  <c r="P72" i="6" s="1"/>
  <c r="D79" i="6"/>
  <c r="P79" i="6" s="1"/>
  <c r="G79" i="6"/>
  <c r="S79" i="6" s="1"/>
  <c r="D96" i="6"/>
  <c r="P96" i="6" s="1"/>
  <c r="G96" i="6"/>
  <c r="S96" i="6" s="1"/>
  <c r="G68" i="6"/>
  <c r="S68" i="6" s="1"/>
  <c r="D68" i="6"/>
  <c r="P68" i="6" s="1"/>
  <c r="G76" i="6"/>
  <c r="S76" i="6" s="1"/>
  <c r="D76" i="6"/>
  <c r="P76" i="6" s="1"/>
  <c r="G74" i="6"/>
  <c r="S74" i="6" s="1"/>
  <c r="D74" i="6"/>
  <c r="P74" i="6" s="1"/>
  <c r="D65" i="6"/>
  <c r="P65" i="6" s="1"/>
  <c r="G65" i="6"/>
  <c r="S65" i="6" s="1"/>
  <c r="F46" i="6"/>
  <c r="R46" i="6" s="1"/>
  <c r="D73" i="6"/>
  <c r="P73" i="6" s="1"/>
  <c r="G73" i="6"/>
  <c r="S73" i="6" s="1"/>
  <c r="F43" i="6"/>
  <c r="R43" i="6" s="1"/>
  <c r="D75" i="6"/>
  <c r="P75" i="6" s="1"/>
  <c r="G75" i="6"/>
  <c r="S75" i="6" s="1"/>
  <c r="G70" i="6"/>
  <c r="S70" i="6" s="1"/>
  <c r="D70" i="6"/>
  <c r="P70" i="6" s="1"/>
  <c r="D108" i="6"/>
  <c r="G108" i="6"/>
  <c r="G105" i="6"/>
  <c r="G107" i="6"/>
  <c r="K137" i="6"/>
  <c r="S137" i="6" s="1"/>
  <c r="K135" i="6"/>
  <c r="S135" i="6" s="1"/>
  <c r="K133" i="6"/>
  <c r="S133" i="6" s="1"/>
  <c r="K132" i="6"/>
  <c r="S132" i="6" s="1"/>
  <c r="K131" i="6"/>
  <c r="S131" i="6" s="1"/>
  <c r="K129" i="6"/>
  <c r="K134" i="6"/>
  <c r="S134" i="6" s="1"/>
  <c r="E40" i="6"/>
  <c r="G40" i="6"/>
  <c r="D40" i="6"/>
  <c r="F107" i="6"/>
  <c r="R107" i="6" s="1"/>
  <c r="D107" i="6"/>
  <c r="F105" i="6"/>
  <c r="R105" i="6" s="1"/>
  <c r="D105" i="6"/>
  <c r="F104" i="6"/>
  <c r="R104" i="6" s="1"/>
  <c r="F103" i="6"/>
  <c r="R103" i="6" s="1"/>
  <c r="F106" i="6"/>
  <c r="R106" i="6" s="1"/>
  <c r="D158" i="6"/>
  <c r="G158" i="6"/>
  <c r="K136" i="6"/>
  <c r="S136" i="6" s="1"/>
  <c r="D102" i="6"/>
  <c r="G102" i="6"/>
  <c r="D165" i="6"/>
  <c r="G165" i="6"/>
  <c r="D43" i="6"/>
  <c r="E43" i="6"/>
  <c r="G43" i="6"/>
  <c r="G162" i="6"/>
  <c r="D168" i="6"/>
  <c r="G168" i="6"/>
  <c r="D161" i="6"/>
  <c r="G161" i="6"/>
  <c r="D164" i="6"/>
  <c r="G164" i="6"/>
  <c r="D166" i="6"/>
  <c r="G166" i="6"/>
  <c r="D160" i="6"/>
  <c r="G160" i="6"/>
  <c r="D159" i="6"/>
  <c r="G159" i="6"/>
  <c r="D104" i="6"/>
  <c r="G104" i="6"/>
  <c r="D103" i="6"/>
  <c r="G103" i="6"/>
  <c r="D106" i="6"/>
  <c r="G106" i="6"/>
  <c r="E46" i="6"/>
  <c r="G46" i="6"/>
  <c r="D46" i="6"/>
  <c r="D47" i="6"/>
  <c r="E47" i="6"/>
  <c r="G47" i="6"/>
  <c r="E45" i="6"/>
  <c r="G45" i="6"/>
  <c r="D45" i="6"/>
  <c r="E42" i="6"/>
  <c r="G42" i="6"/>
  <c r="D42" i="6"/>
  <c r="D41" i="6"/>
  <c r="E41" i="6"/>
  <c r="G41" i="6"/>
  <c r="D39" i="6"/>
  <c r="E39" i="6"/>
  <c r="G39" i="6"/>
  <c r="E14" i="6"/>
  <c r="D14" i="6"/>
  <c r="G14" i="6"/>
  <c r="D11" i="6"/>
  <c r="G11" i="6"/>
  <c r="E11" i="6"/>
  <c r="E44" i="6"/>
  <c r="G44" i="6"/>
  <c r="D44" i="6"/>
  <c r="D167" i="6"/>
  <c r="G167" i="6"/>
  <c r="E9" i="6"/>
  <c r="D9" i="6"/>
  <c r="G9" i="6"/>
  <c r="D48" i="6"/>
  <c r="D52" i="6"/>
  <c r="D50" i="6"/>
  <c r="E52" i="6"/>
  <c r="E50" i="6"/>
  <c r="G51" i="6"/>
  <c r="G53" i="6"/>
  <c r="D53" i="6"/>
  <c r="D51" i="6"/>
  <c r="E53" i="6"/>
  <c r="E51" i="6"/>
  <c r="G50" i="6"/>
  <c r="G52" i="6"/>
  <c r="D19" i="6"/>
  <c r="D17" i="6"/>
  <c r="E20" i="6"/>
  <c r="E18" i="6"/>
  <c r="G19" i="6"/>
  <c r="G17" i="6"/>
  <c r="D20" i="6"/>
  <c r="D18" i="6"/>
  <c r="E19" i="6"/>
  <c r="E17" i="6"/>
  <c r="G20" i="6"/>
  <c r="G18" i="6"/>
  <c r="G129" i="6"/>
  <c r="D101" i="6"/>
  <c r="G101" i="6"/>
  <c r="D95" i="6"/>
  <c r="G95" i="6"/>
  <c r="G64" i="6"/>
  <c r="D54" i="6"/>
  <c r="E54" i="6"/>
  <c r="G54" i="6"/>
  <c r="D49" i="6"/>
  <c r="G49" i="6"/>
  <c r="E49" i="6"/>
  <c r="E48" i="6"/>
  <c r="G48" i="6"/>
  <c r="D38" i="6"/>
  <c r="E38" i="6"/>
  <c r="G38" i="6"/>
  <c r="E21" i="6"/>
  <c r="D21" i="6"/>
  <c r="G21" i="6"/>
  <c r="D16" i="6"/>
  <c r="E16" i="6"/>
  <c r="G16" i="6"/>
  <c r="E15" i="6"/>
  <c r="D15" i="6"/>
  <c r="G15" i="6"/>
  <c r="E8" i="6"/>
  <c r="G8" i="6"/>
  <c r="D8" i="6"/>
  <c r="G163" i="6"/>
  <c r="D163" i="6"/>
  <c r="D157" i="6"/>
  <c r="G157" i="6"/>
  <c r="E131" i="6"/>
  <c r="E165" i="6"/>
  <c r="E95" i="6"/>
  <c r="E136" i="6"/>
  <c r="E161" i="6"/>
  <c r="E135" i="6"/>
  <c r="E64" i="6"/>
  <c r="D64" i="6"/>
  <c r="E107" i="6"/>
  <c r="E103" i="6"/>
  <c r="E134" i="6"/>
  <c r="E130" i="6"/>
  <c r="E168" i="6"/>
  <c r="E164" i="6"/>
  <c r="E160" i="6"/>
  <c r="E108" i="6"/>
  <c r="E106" i="6"/>
  <c r="E102" i="6"/>
  <c r="E133" i="6"/>
  <c r="E167" i="6"/>
  <c r="E163" i="6"/>
  <c r="E159" i="6"/>
  <c r="E104" i="6"/>
  <c r="E105" i="6"/>
  <c r="E101" i="6"/>
  <c r="E129" i="6"/>
  <c r="D129" i="6"/>
  <c r="E137" i="6"/>
  <c r="E132" i="6"/>
  <c r="E166" i="6"/>
  <c r="E162" i="6"/>
  <c r="E158" i="6"/>
  <c r="I9" i="6"/>
  <c r="I12" i="6"/>
  <c r="Q12" i="6" s="1"/>
  <c r="I14" i="6"/>
  <c r="I16" i="6"/>
  <c r="I18" i="6"/>
  <c r="I19" i="6"/>
  <c r="I20" i="6"/>
  <c r="I21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K104" i="6"/>
  <c r="K108" i="6"/>
  <c r="K159" i="6"/>
  <c r="K161" i="6"/>
  <c r="K163" i="6"/>
  <c r="K165" i="6"/>
  <c r="K167" i="6"/>
  <c r="I8" i="6"/>
  <c r="I10" i="6"/>
  <c r="Q10" i="6" s="1"/>
  <c r="I15" i="6"/>
  <c r="K64" i="6"/>
  <c r="K103" i="6"/>
  <c r="K107" i="6"/>
  <c r="I11" i="6"/>
  <c r="I13" i="6"/>
  <c r="Q13" i="6" s="1"/>
  <c r="I17" i="6"/>
  <c r="K8" i="6"/>
  <c r="K9" i="6"/>
  <c r="K10" i="6"/>
  <c r="S10" i="6" s="1"/>
  <c r="K11" i="6"/>
  <c r="K12" i="6"/>
  <c r="S12" i="6" s="1"/>
  <c r="K13" i="6"/>
  <c r="S13" i="6" s="1"/>
  <c r="K14" i="6"/>
  <c r="K15" i="6"/>
  <c r="K16" i="6"/>
  <c r="K17" i="6"/>
  <c r="K18" i="6"/>
  <c r="K19" i="6"/>
  <c r="K20" i="6"/>
  <c r="K21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102" i="6"/>
  <c r="K106" i="6"/>
  <c r="K158" i="6"/>
  <c r="K160" i="6"/>
  <c r="K162" i="6"/>
  <c r="K164" i="6"/>
  <c r="K166" i="6"/>
  <c r="K168" i="6"/>
  <c r="H8" i="6"/>
  <c r="H9" i="6"/>
  <c r="H10" i="6"/>
  <c r="P10" i="6" s="1"/>
  <c r="H11" i="6"/>
  <c r="H12" i="6"/>
  <c r="P12" i="6" s="1"/>
  <c r="H13" i="6"/>
  <c r="P13" i="6" s="1"/>
  <c r="H14" i="6"/>
  <c r="H15" i="6"/>
  <c r="H16" i="6"/>
  <c r="H17" i="6"/>
  <c r="H18" i="6"/>
  <c r="H19" i="6"/>
  <c r="H20" i="6"/>
  <c r="H21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K95" i="6"/>
  <c r="K101" i="6"/>
  <c r="K105" i="6"/>
  <c r="K157" i="6"/>
  <c r="R64" i="6"/>
  <c r="R134" i="6"/>
  <c r="R130" i="6"/>
  <c r="I160" i="6"/>
  <c r="H160" i="6"/>
  <c r="I164" i="6"/>
  <c r="H164" i="6"/>
  <c r="I168" i="6"/>
  <c r="H168" i="6"/>
  <c r="R159" i="6"/>
  <c r="R163" i="6"/>
  <c r="R167" i="6"/>
  <c r="I159" i="6"/>
  <c r="H159" i="6"/>
  <c r="I163" i="6"/>
  <c r="H163" i="6"/>
  <c r="I167" i="6"/>
  <c r="H167" i="6"/>
  <c r="R158" i="6"/>
  <c r="R162" i="6"/>
  <c r="R166" i="6"/>
  <c r="I158" i="6"/>
  <c r="H158" i="6"/>
  <c r="I162" i="6"/>
  <c r="H162" i="6"/>
  <c r="I166" i="6"/>
  <c r="H166" i="6"/>
  <c r="R157" i="6"/>
  <c r="R161" i="6"/>
  <c r="R165" i="6"/>
  <c r="I157" i="6"/>
  <c r="H157" i="6"/>
  <c r="I161" i="6"/>
  <c r="H161" i="6"/>
  <c r="I165" i="6"/>
  <c r="H165" i="6"/>
  <c r="R160" i="6"/>
  <c r="R164" i="6"/>
  <c r="R168" i="6"/>
  <c r="I131" i="6"/>
  <c r="H131" i="6"/>
  <c r="I130" i="6"/>
  <c r="H130" i="6"/>
  <c r="I134" i="6"/>
  <c r="H134" i="6"/>
  <c r="R129" i="6"/>
  <c r="S130" i="6"/>
  <c r="R133" i="6"/>
  <c r="I136" i="6"/>
  <c r="H136" i="6"/>
  <c r="I129" i="6"/>
  <c r="H129" i="6"/>
  <c r="I133" i="6"/>
  <c r="H133" i="6"/>
  <c r="R132" i="6"/>
  <c r="R137" i="6"/>
  <c r="I135" i="6"/>
  <c r="H135" i="6"/>
  <c r="I132" i="6"/>
  <c r="H132" i="6"/>
  <c r="I137" i="6"/>
  <c r="H137" i="6"/>
  <c r="R131" i="6"/>
  <c r="R135" i="6"/>
  <c r="R136" i="6"/>
  <c r="I103" i="6"/>
  <c r="H103" i="6"/>
  <c r="I107" i="6"/>
  <c r="H107" i="6"/>
  <c r="R102" i="6"/>
  <c r="I104" i="6"/>
  <c r="H104" i="6"/>
  <c r="I102" i="6"/>
  <c r="H102" i="6"/>
  <c r="I106" i="6"/>
  <c r="H106" i="6"/>
  <c r="R101" i="6"/>
  <c r="I108" i="6"/>
  <c r="H108" i="6"/>
  <c r="I101" i="6"/>
  <c r="H101" i="6"/>
  <c r="I105" i="6"/>
  <c r="H105" i="6"/>
  <c r="R108" i="6"/>
  <c r="I64" i="6"/>
  <c r="H64" i="6"/>
  <c r="R38" i="6"/>
  <c r="R39" i="6"/>
  <c r="R40" i="6"/>
  <c r="R41" i="6"/>
  <c r="R42" i="6"/>
  <c r="R44" i="6"/>
  <c r="R45" i="6"/>
  <c r="R47" i="6"/>
  <c r="R48" i="6"/>
  <c r="R49" i="6"/>
  <c r="R50" i="6"/>
  <c r="R51" i="6"/>
  <c r="R52" i="6"/>
  <c r="R53" i="6"/>
  <c r="R54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M104" i="6"/>
  <c r="L104" i="6"/>
  <c r="M108" i="6"/>
  <c r="L108" i="6"/>
  <c r="M135" i="6"/>
  <c r="L135" i="6"/>
  <c r="M136" i="6"/>
  <c r="L136" i="6"/>
  <c r="L160" i="6"/>
  <c r="L164" i="6"/>
  <c r="L168" i="6"/>
  <c r="R8" i="6"/>
  <c r="M64" i="6"/>
  <c r="L64" i="6"/>
  <c r="M103" i="6"/>
  <c r="L103" i="6"/>
  <c r="M107" i="6"/>
  <c r="L107" i="6"/>
  <c r="M130" i="6"/>
  <c r="L130" i="6"/>
  <c r="M134" i="6"/>
  <c r="L134" i="6"/>
  <c r="L159" i="6"/>
  <c r="L163" i="6"/>
  <c r="L167" i="6"/>
  <c r="M131" i="6"/>
  <c r="L131" i="6"/>
  <c r="R95" i="6"/>
  <c r="M102" i="6"/>
  <c r="L102" i="6"/>
  <c r="M106" i="6"/>
  <c r="L106" i="6"/>
  <c r="M133" i="6"/>
  <c r="L133" i="6"/>
  <c r="L158" i="6"/>
  <c r="L162" i="6"/>
  <c r="L166" i="6"/>
  <c r="M95" i="6"/>
  <c r="L95" i="6"/>
  <c r="M101" i="6"/>
  <c r="L101" i="6"/>
  <c r="M105" i="6"/>
  <c r="L105" i="6"/>
  <c r="M132" i="6"/>
  <c r="L132" i="6"/>
  <c r="M137" i="6"/>
  <c r="L137" i="6"/>
  <c r="M157" i="6"/>
  <c r="L157" i="6"/>
  <c r="L161" i="6"/>
  <c r="M165" i="6"/>
  <c r="L165" i="6"/>
  <c r="M129" i="6"/>
  <c r="L129" i="6"/>
  <c r="I95" i="6"/>
  <c r="H95" i="6"/>
  <c r="S108" i="6" l="1"/>
  <c r="P45" i="6"/>
  <c r="P41" i="6"/>
  <c r="Q39" i="6"/>
  <c r="S40" i="6"/>
  <c r="S166" i="6"/>
  <c r="S16" i="6"/>
  <c r="S165" i="6"/>
  <c r="S161" i="6"/>
  <c r="S101" i="6"/>
  <c r="S102" i="6"/>
  <c r="P47" i="6"/>
  <c r="S45" i="6"/>
  <c r="S103" i="6"/>
  <c r="S105" i="6"/>
  <c r="P39" i="6"/>
  <c r="S129" i="6"/>
  <c r="P21" i="6"/>
  <c r="P19" i="6"/>
  <c r="P11" i="6"/>
  <c r="S19" i="6"/>
  <c r="Q11" i="6"/>
  <c r="S107" i="6"/>
  <c r="Q14" i="6"/>
  <c r="Q40" i="6"/>
  <c r="M158" i="6"/>
  <c r="Q158" i="6" s="1"/>
  <c r="M160" i="6"/>
  <c r="Q160" i="6" s="1"/>
  <c r="M168" i="6"/>
  <c r="Q168" i="6" s="1"/>
  <c r="M161" i="6"/>
  <c r="Q161" i="6" s="1"/>
  <c r="M164" i="6"/>
  <c r="Q164" i="6" s="1"/>
  <c r="M159" i="6"/>
  <c r="Q159" i="6" s="1"/>
  <c r="M162" i="6"/>
  <c r="Q162" i="6" s="1"/>
  <c r="M163" i="6"/>
  <c r="Q163" i="6" s="1"/>
  <c r="P50" i="6"/>
  <c r="S162" i="6"/>
  <c r="P48" i="6"/>
  <c r="P165" i="6"/>
  <c r="S106" i="6"/>
  <c r="S168" i="6"/>
  <c r="S160" i="6"/>
  <c r="S49" i="6"/>
  <c r="Q42" i="6"/>
  <c r="P15" i="6"/>
  <c r="P40" i="6"/>
  <c r="Q50" i="6"/>
  <c r="Q46" i="6"/>
  <c r="P51" i="6"/>
  <c r="S43" i="6"/>
  <c r="S15" i="6"/>
  <c r="S8" i="6"/>
  <c r="Q51" i="6"/>
  <c r="S167" i="6"/>
  <c r="P53" i="6"/>
  <c r="S95" i="6"/>
  <c r="S164" i="6"/>
  <c r="S158" i="6"/>
  <c r="P49" i="6"/>
  <c r="S51" i="6"/>
  <c r="S47" i="6"/>
  <c r="S39" i="6"/>
  <c r="P64" i="6"/>
  <c r="Q9" i="6"/>
  <c r="S53" i="6"/>
  <c r="P43" i="6"/>
  <c r="P17" i="6"/>
  <c r="S21" i="6"/>
  <c r="S17" i="6"/>
  <c r="Q17" i="6"/>
  <c r="P105" i="6"/>
  <c r="P104" i="6"/>
  <c r="M167" i="6"/>
  <c r="Q167" i="6" s="1"/>
  <c r="P9" i="6"/>
  <c r="P161" i="6"/>
  <c r="Q108" i="6"/>
  <c r="P132" i="6"/>
  <c r="Q38" i="6"/>
  <c r="P136" i="6"/>
  <c r="S64" i="6"/>
  <c r="Q54" i="6"/>
  <c r="Q18" i="6"/>
  <c r="S157" i="6"/>
  <c r="S38" i="6"/>
  <c r="Q48" i="6"/>
  <c r="S54" i="6"/>
  <c r="P20" i="6"/>
  <c r="Q20" i="6"/>
  <c r="Q52" i="6"/>
  <c r="S9" i="6"/>
  <c r="Q43" i="6"/>
  <c r="S41" i="6"/>
  <c r="Q19" i="6"/>
  <c r="P52" i="6"/>
  <c r="S46" i="6"/>
  <c r="S48" i="6"/>
  <c r="P44" i="6"/>
  <c r="Q44" i="6"/>
  <c r="S11" i="6"/>
  <c r="S159" i="6"/>
  <c r="Q133" i="6"/>
  <c r="S104" i="6"/>
  <c r="P46" i="6"/>
  <c r="Q47" i="6"/>
  <c r="Q45" i="6"/>
  <c r="P42" i="6"/>
  <c r="S42" i="6"/>
  <c r="Q41" i="6"/>
  <c r="P14" i="6"/>
  <c r="S14" i="6"/>
  <c r="S44" i="6"/>
  <c r="S52" i="6"/>
  <c r="S50" i="6"/>
  <c r="Q53" i="6"/>
  <c r="Q49" i="6"/>
  <c r="P18" i="6"/>
  <c r="S20" i="6"/>
  <c r="S18" i="6"/>
  <c r="P54" i="6"/>
  <c r="P38" i="6"/>
  <c r="Q21" i="6"/>
  <c r="P16" i="6"/>
  <c r="Q16" i="6"/>
  <c r="Q15" i="6"/>
  <c r="P8" i="6"/>
  <c r="Q8" i="6"/>
  <c r="S163" i="6"/>
  <c r="P157" i="6"/>
  <c r="E157" i="6"/>
  <c r="Q157" i="6" s="1"/>
  <c r="P95" i="6"/>
  <c r="M166" i="6"/>
  <c r="Q166" i="6" s="1"/>
  <c r="P102" i="6"/>
  <c r="P107" i="6"/>
  <c r="P133" i="6"/>
  <c r="P164" i="6"/>
  <c r="P108" i="6"/>
  <c r="P106" i="6"/>
  <c r="P168" i="6"/>
  <c r="P160" i="6"/>
  <c r="Q131" i="6"/>
  <c r="Q95" i="6"/>
  <c r="P129" i="6"/>
  <c r="P137" i="6"/>
  <c r="P166" i="6"/>
  <c r="P158" i="6"/>
  <c r="P131" i="6"/>
  <c r="P167" i="6"/>
  <c r="P159" i="6"/>
  <c r="P134" i="6"/>
  <c r="P162" i="6"/>
  <c r="P163" i="6"/>
  <c r="Q64" i="6"/>
  <c r="Q165" i="6"/>
  <c r="Q136" i="6"/>
  <c r="Q134" i="6"/>
  <c r="Q132" i="6"/>
  <c r="P130" i="6"/>
  <c r="Q130" i="6"/>
  <c r="Q129" i="6"/>
  <c r="Q107" i="6"/>
  <c r="Q104" i="6"/>
  <c r="Q105" i="6"/>
  <c r="Q103" i="6"/>
  <c r="Q102" i="6"/>
  <c r="Q106" i="6"/>
  <c r="Q101" i="6"/>
  <c r="Q137" i="6"/>
  <c r="P135" i="6"/>
  <c r="Q135" i="6"/>
  <c r="P103" i="6"/>
  <c r="P101" i="6"/>
</calcChain>
</file>

<file path=xl/sharedStrings.xml><?xml version="1.0" encoding="utf-8"?>
<sst xmlns="http://schemas.openxmlformats.org/spreadsheetml/2006/main" count="764" uniqueCount="179">
  <si>
    <t>Total</t>
  </si>
  <si>
    <t>DEPARTEMENTS</t>
  </si>
  <si>
    <t>LOCALITES</t>
  </si>
  <si>
    <t>Allada</t>
  </si>
  <si>
    <t>Niaouli</t>
  </si>
  <si>
    <t xml:space="preserve">Sékou </t>
  </si>
  <si>
    <t>Ouidah ville</t>
  </si>
  <si>
    <t>Ouidah nord</t>
  </si>
  <si>
    <t>Toffo</t>
  </si>
  <si>
    <t>Bassila</t>
  </si>
  <si>
    <t xml:space="preserve">Birni </t>
  </si>
  <si>
    <t>Boukoumbé</t>
  </si>
  <si>
    <t xml:space="preserve">Copargo </t>
  </si>
  <si>
    <t>Dassari</t>
  </si>
  <si>
    <t>Djougou</t>
  </si>
  <si>
    <t>Kérou</t>
  </si>
  <si>
    <t>Kouandé</t>
  </si>
  <si>
    <t>Sémèrè</t>
  </si>
  <si>
    <t xml:space="preserve">Pénessoulou </t>
  </si>
  <si>
    <t>Porga</t>
  </si>
  <si>
    <t>Matéri</t>
  </si>
  <si>
    <t>Natitingou</t>
  </si>
  <si>
    <t xml:space="preserve">Tanguiéta </t>
  </si>
  <si>
    <t>Alfakoara</t>
  </si>
  <si>
    <t>Okpara</t>
  </si>
  <si>
    <t>Banikoara</t>
  </si>
  <si>
    <t xml:space="preserve">Bembèrèkè </t>
  </si>
  <si>
    <t>Karimama</t>
  </si>
  <si>
    <t xml:space="preserve">Malanville </t>
  </si>
  <si>
    <t>Nikki</t>
  </si>
  <si>
    <t>INA</t>
  </si>
  <si>
    <t xml:space="preserve">Kalalé </t>
  </si>
  <si>
    <t>Kandi</t>
  </si>
  <si>
    <t xml:space="preserve">Parakou </t>
  </si>
  <si>
    <t xml:space="preserve">Ségbana </t>
  </si>
  <si>
    <t>Guéné</t>
  </si>
  <si>
    <t>Bétérou</t>
  </si>
  <si>
    <t xml:space="preserve">Tchaourou </t>
  </si>
  <si>
    <t>Aplahoué</t>
  </si>
  <si>
    <t xml:space="preserve">Athiémé </t>
  </si>
  <si>
    <t>Lonkly</t>
  </si>
  <si>
    <t xml:space="preserve">Kpinnou </t>
  </si>
  <si>
    <t>Bopa</t>
  </si>
  <si>
    <t xml:space="preserve">Comè </t>
  </si>
  <si>
    <t xml:space="preserve">Houin-Agamè </t>
  </si>
  <si>
    <t>Grand-popo</t>
  </si>
  <si>
    <t>Lokossa</t>
  </si>
  <si>
    <t xml:space="preserve">Adjohoun </t>
  </si>
  <si>
    <t>Avrankou</t>
  </si>
  <si>
    <t>Bonou</t>
  </si>
  <si>
    <t>Dangbo</t>
  </si>
  <si>
    <t>Porto-Novo</t>
  </si>
  <si>
    <t>Kétou</t>
  </si>
  <si>
    <t>Ouando</t>
  </si>
  <si>
    <t>Pobè</t>
  </si>
  <si>
    <t>Sakété</t>
  </si>
  <si>
    <t>Tchaada</t>
  </si>
  <si>
    <t>Sèmè-Cocotier</t>
  </si>
  <si>
    <t>Agouna</t>
  </si>
  <si>
    <t xml:space="preserve">Agbangnizoun </t>
  </si>
  <si>
    <t xml:space="preserve">Bantè </t>
  </si>
  <si>
    <t>Pira</t>
  </si>
  <si>
    <t xml:space="preserve">Bohicon </t>
  </si>
  <si>
    <t xml:space="preserve">Dassa-Zoumè </t>
  </si>
  <si>
    <t xml:space="preserve">Glazoué </t>
  </si>
  <si>
    <t xml:space="preserve">Savalou </t>
  </si>
  <si>
    <t>Aklampa</t>
  </si>
  <si>
    <t xml:space="preserve">Savè </t>
  </si>
  <si>
    <t xml:space="preserve">Ouinhi </t>
  </si>
  <si>
    <t>Ouessè</t>
  </si>
  <si>
    <t xml:space="preserve">Zagnanado </t>
  </si>
  <si>
    <t>Abomey</t>
  </si>
  <si>
    <t>Gouka</t>
  </si>
  <si>
    <t>Tchetti</t>
  </si>
  <si>
    <t>Toui</t>
  </si>
  <si>
    <t>Zakpota</t>
  </si>
  <si>
    <t>Kokoro</t>
  </si>
  <si>
    <t>Kpataba</t>
  </si>
  <si>
    <t>BORGOU -ALIBORI</t>
  </si>
  <si>
    <t>ATACORA - DONGA</t>
  </si>
  <si>
    <t>MONO - COUFFO</t>
  </si>
  <si>
    <t>OUEME -PLATEAU</t>
  </si>
  <si>
    <t>ZOU -    COLLINES</t>
  </si>
  <si>
    <t>Alafiarou</t>
  </si>
  <si>
    <t>Péhunco</t>
  </si>
  <si>
    <t>Cotonou-Ville</t>
  </si>
  <si>
    <r>
      <t>1</t>
    </r>
    <r>
      <rPr>
        <b/>
        <vertAlign val="superscript"/>
        <sz val="8"/>
        <color theme="1"/>
        <rFont val="Calibri"/>
        <family val="2"/>
        <scheme val="minor"/>
      </rPr>
      <t>ère</t>
    </r>
    <r>
      <rPr>
        <b/>
        <sz val="8"/>
        <color theme="1"/>
        <rFont val="Calibri"/>
        <family val="2"/>
        <scheme val="minor"/>
      </rPr>
      <t xml:space="preserve"> décade</t>
    </r>
  </si>
  <si>
    <r>
      <t>2</t>
    </r>
    <r>
      <rPr>
        <b/>
        <vertAlign val="superscript"/>
        <sz val="8"/>
        <color theme="1"/>
        <rFont val="Calibri"/>
        <family val="2"/>
        <scheme val="minor"/>
      </rPr>
      <t>ème</t>
    </r>
    <r>
      <rPr>
        <b/>
        <sz val="8"/>
        <color theme="1"/>
        <rFont val="Calibri"/>
        <family val="2"/>
        <scheme val="minor"/>
      </rPr>
      <t xml:space="preserve"> décade</t>
    </r>
  </si>
  <si>
    <r>
      <t>3</t>
    </r>
    <r>
      <rPr>
        <b/>
        <vertAlign val="superscript"/>
        <sz val="8"/>
        <color theme="1"/>
        <rFont val="Calibri"/>
        <family val="2"/>
        <scheme val="minor"/>
      </rPr>
      <t>ème</t>
    </r>
    <r>
      <rPr>
        <b/>
        <sz val="8"/>
        <color theme="1"/>
        <rFont val="Calibri"/>
        <family val="2"/>
        <scheme val="minor"/>
      </rPr>
      <t xml:space="preserve"> décade</t>
    </r>
  </si>
  <si>
    <t>NbJP</t>
  </si>
  <si>
    <r>
      <t xml:space="preserve">NbJP </t>
    </r>
    <r>
      <rPr>
        <b/>
        <sz val="8"/>
        <color theme="1"/>
        <rFont val="Calibri"/>
        <family val="2"/>
      </rPr>
      <t>&gt;</t>
    </r>
    <r>
      <rPr>
        <b/>
        <sz val="8"/>
        <color theme="1"/>
        <rFont val="Calibri"/>
        <family val="2"/>
        <scheme val="minor"/>
      </rPr>
      <t xml:space="preserve"> 20 mm</t>
    </r>
  </si>
  <si>
    <t>NbJP &gt; 20 mm</t>
  </si>
  <si>
    <t>Total (mm)</t>
  </si>
  <si>
    <t>Cotonou-Port</t>
  </si>
  <si>
    <t>Natitingou ville</t>
  </si>
  <si>
    <t>LEGENDE: NbJP= nombre de jours de pluie</t>
  </si>
  <si>
    <t>3-Borgou-Alibori : 16</t>
  </si>
  <si>
    <t xml:space="preserve">4-Mono-Coufo : 10 </t>
  </si>
  <si>
    <t xml:space="preserve">5- Ouémé-Plateau : 11 </t>
  </si>
  <si>
    <t>6- Zou-Colines : 20</t>
  </si>
  <si>
    <t>REPUBLIQUE DU BENIN</t>
  </si>
  <si>
    <t>MINISTERE DES TRAVAUX PUBLICS ET DES TRANSPORTS</t>
  </si>
  <si>
    <t>DIRECTION NATIONALE DE  LA METEOROLOGIE</t>
  </si>
  <si>
    <t>Cotonou-Aéro</t>
  </si>
  <si>
    <t>Cotonou C. Central</t>
  </si>
  <si>
    <r>
      <t xml:space="preserve">NbJP </t>
    </r>
    <r>
      <rPr>
        <b/>
        <sz val="8"/>
        <color theme="1"/>
        <rFont val="Calibri"/>
        <family val="2"/>
      </rPr>
      <t>˃ 20mm</t>
    </r>
  </si>
  <si>
    <t>Max</t>
  </si>
  <si>
    <t>2- Atacora-Donga : 16</t>
  </si>
  <si>
    <t>Natitingou-ville</t>
  </si>
  <si>
    <t xml:space="preserve"> </t>
  </si>
  <si>
    <t>Réseau pluviométrique  de 86 postes :</t>
  </si>
  <si>
    <t>1- Atlantique Littoral : 12</t>
  </si>
  <si>
    <t>Akossombo</t>
  </si>
  <si>
    <t>Partago</t>
  </si>
  <si>
    <t>NbJP&gt;0</t>
  </si>
  <si>
    <t>Agonkanmey</t>
  </si>
  <si>
    <t>Cotonou ste Cécile</t>
  </si>
  <si>
    <t>Cotonou-Akpakpa</t>
  </si>
  <si>
    <t>Birni</t>
  </si>
  <si>
    <t xml:space="preserve">Matéri </t>
  </si>
  <si>
    <t>Dogbo</t>
  </si>
  <si>
    <t>Klouekamey</t>
  </si>
  <si>
    <t>Adohoun</t>
  </si>
  <si>
    <t>Dedepkoe</t>
  </si>
  <si>
    <t>Bodjecali</t>
  </si>
  <si>
    <t>Founougo</t>
  </si>
  <si>
    <t>ATLANTIQUE-LITTORAL</t>
  </si>
  <si>
    <t>ATACORA-DONGA</t>
  </si>
  <si>
    <t>BORGOU-ALIBORI</t>
  </si>
  <si>
    <t>MONO-COUFFO</t>
  </si>
  <si>
    <t>OUEME-PLATEAU</t>
  </si>
  <si>
    <t>ZOU-COLLINE</t>
  </si>
  <si>
    <t xml:space="preserve">Natitingou </t>
  </si>
  <si>
    <t>Tanguieta</t>
  </si>
  <si>
    <t>Dogbo-Tota</t>
  </si>
  <si>
    <t>Klouekanmey</t>
  </si>
  <si>
    <t>Cotonou-Aero</t>
  </si>
  <si>
    <t>Cotonou-Commis.</t>
  </si>
  <si>
    <t>Cotonou Ste Cécile</t>
  </si>
  <si>
    <t>Ouidah-Nord</t>
  </si>
  <si>
    <t>Ouidah-Ville</t>
  </si>
  <si>
    <t>Sékou</t>
  </si>
  <si>
    <t>NbJP&lt;0</t>
  </si>
  <si>
    <t>Labavè</t>
  </si>
  <si>
    <t>Sagon</t>
  </si>
  <si>
    <t>Sehomi</t>
  </si>
  <si>
    <t>Soava Ounmè</t>
  </si>
  <si>
    <r>
      <t xml:space="preserve">NbJP </t>
    </r>
    <r>
      <rPr>
        <b/>
        <sz val="8"/>
        <rFont val="Calibri"/>
        <family val="2"/>
      </rPr>
      <t>˃ 20mm</t>
    </r>
  </si>
  <si>
    <t>Alafiarou Nouveau</t>
  </si>
  <si>
    <t>Tourou</t>
  </si>
  <si>
    <t>Sanson</t>
  </si>
  <si>
    <t>Tchaourou-Centre</t>
  </si>
  <si>
    <t>Atomey</t>
  </si>
  <si>
    <t>Voly</t>
  </si>
  <si>
    <t>Effehoute</t>
  </si>
  <si>
    <t>Ketou-Centre</t>
  </si>
  <si>
    <t>Atchakpa</t>
  </si>
  <si>
    <t>Igbo-Iroko</t>
  </si>
  <si>
    <t>Sokponta</t>
  </si>
  <si>
    <t>Agouagon</t>
  </si>
  <si>
    <t>Monkpa</t>
  </si>
  <si>
    <t>Ouessè Nouveau</t>
  </si>
  <si>
    <t>Gobaix</t>
  </si>
  <si>
    <t>Djidja-centre</t>
  </si>
  <si>
    <t>Djidja-Centre</t>
  </si>
  <si>
    <t>Kétou-Centre</t>
  </si>
  <si>
    <t>Damè</t>
  </si>
  <si>
    <t>Bohicon_ville</t>
  </si>
  <si>
    <t>CUMUL PLUVIOMETRIQUE MENSUEL:  AOUT 2024</t>
  </si>
  <si>
    <t>HAUTEURS JOURNALIERES DE PLUIE :                                                                                                       1ère DECADE DE AOUT 2025</t>
  </si>
  <si>
    <t>HAUTEURS JOURNALIERES DE PLUIE :                                                                                                                              2ème DECADE DU MOIS DE AOUT 2025</t>
  </si>
  <si>
    <t>HAUTEURS JOURNALIERES DE PLUIE :                                                                                                       3ème DECADE DU MOIS DE AOUT 2025</t>
  </si>
  <si>
    <t>TR</t>
  </si>
  <si>
    <t>T</t>
  </si>
  <si>
    <t xml:space="preserve">  </t>
  </si>
  <si>
    <t>onklou</t>
  </si>
  <si>
    <t>sinende</t>
  </si>
  <si>
    <t>Ndali</t>
  </si>
  <si>
    <t>Guinagourou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</si>
</sst>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</font>
    <font>
      <b/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8"/>
      <color indexed="1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double">
        <color indexed="64"/>
      </right>
      <top/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rgb="FF000000"/>
      </right>
      <top/>
      <bottom style="medium">
        <color rgb="FF000000"/>
      </bottom>
      <diagonal/>
    </border>
    <border>
      <left style="double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double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double">
        <color indexed="64"/>
      </right>
      <top style="medium">
        <color indexed="64"/>
      </top>
      <bottom style="medium">
        <color rgb="FF000000"/>
      </bottom>
      <diagonal/>
    </border>
    <border>
      <left style="double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double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double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 style="medium">
        <color indexed="64"/>
      </top>
      <bottom style="medium">
        <color rgb="FF000000"/>
      </bottom>
      <diagonal/>
    </border>
    <border>
      <left/>
      <right style="double">
        <color indexed="64"/>
      </right>
      <top/>
      <bottom style="medium">
        <color rgb="FF000000"/>
      </bottom>
      <diagonal/>
    </border>
    <border>
      <left/>
      <right style="double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0" fillId="0" borderId="3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13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0" fillId="0" borderId="24" xfId="0" applyBorder="1" applyAlignment="1">
      <alignment horizontal="center"/>
    </xf>
    <xf numFmtId="164" fontId="5" fillId="0" borderId="22" xfId="0" applyNumberFormat="1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 wrapText="1"/>
    </xf>
    <xf numFmtId="164" fontId="5" fillId="0" borderId="4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164" fontId="0" fillId="0" borderId="46" xfId="0" applyNumberForma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2" fillId="0" borderId="39" xfId="0" applyFont="1" applyBorder="1" applyAlignment="1">
      <alignment horizontal="center" vertical="center" wrapText="1"/>
    </xf>
    <xf numFmtId="0" fontId="10" fillId="0" borderId="0" xfId="0" applyFont="1"/>
    <xf numFmtId="0" fontId="2" fillId="0" borderId="4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center" wrapText="1"/>
    </xf>
    <xf numFmtId="0" fontId="3" fillId="0" borderId="51" xfId="0" applyFont="1" applyBorder="1" applyAlignment="1">
      <alignment horizontal="center" wrapText="1"/>
    </xf>
    <xf numFmtId="0" fontId="3" fillId="0" borderId="52" xfId="0" applyFont="1" applyBorder="1" applyAlignment="1">
      <alignment horizontal="center" wrapText="1"/>
    </xf>
    <xf numFmtId="0" fontId="4" fillId="0" borderId="5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wrapText="1"/>
    </xf>
    <xf numFmtId="164" fontId="0" fillId="0" borderId="0" xfId="0" applyNumberFormat="1"/>
    <xf numFmtId="164" fontId="4" fillId="0" borderId="2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164" fontId="2" fillId="0" borderId="0" xfId="0" applyNumberFormat="1" applyFont="1" applyAlignment="1">
      <alignment horizontal="left" vertical="center" wrapText="1"/>
    </xf>
    <xf numFmtId="164" fontId="0" fillId="0" borderId="25" xfId="0" applyNumberFormat="1" applyBorder="1" applyAlignment="1">
      <alignment horizontal="center" vertical="center"/>
    </xf>
    <xf numFmtId="164" fontId="0" fillId="0" borderId="57" xfId="0" applyNumberFormat="1" applyBorder="1" applyAlignment="1">
      <alignment horizontal="center" vertical="center"/>
    </xf>
    <xf numFmtId="164" fontId="0" fillId="0" borderId="58" xfId="0" applyNumberFormat="1" applyBorder="1" applyAlignment="1">
      <alignment horizontal="center" vertical="center"/>
    </xf>
    <xf numFmtId="164" fontId="0" fillId="0" borderId="59" xfId="0" applyNumberFormat="1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5" fillId="0" borderId="45" xfId="0" applyNumberFormat="1" applyFont="1" applyBorder="1" applyAlignment="1">
      <alignment horizontal="center" wrapText="1"/>
    </xf>
    <xf numFmtId="164" fontId="5" fillId="0" borderId="60" xfId="0" applyNumberFormat="1" applyFont="1" applyBorder="1" applyAlignment="1">
      <alignment horizontal="center" wrapText="1"/>
    </xf>
    <xf numFmtId="0" fontId="2" fillId="0" borderId="5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64" fontId="5" fillId="0" borderId="62" xfId="0" applyNumberFormat="1" applyFont="1" applyBorder="1" applyAlignment="1">
      <alignment horizontal="center" wrapText="1"/>
    </xf>
    <xf numFmtId="0" fontId="4" fillId="0" borderId="61" xfId="0" applyFont="1" applyBorder="1" applyAlignment="1">
      <alignment horizontal="center" vertical="center" wrapText="1"/>
    </xf>
    <xf numFmtId="164" fontId="5" fillId="0" borderId="61" xfId="0" applyNumberFormat="1" applyFont="1" applyBorder="1" applyAlignment="1">
      <alignment horizontal="center" wrapText="1"/>
    </xf>
    <xf numFmtId="0" fontId="0" fillId="0" borderId="61" xfId="0" applyBorder="1" applyAlignment="1">
      <alignment horizontal="center"/>
    </xf>
    <xf numFmtId="164" fontId="0" fillId="0" borderId="61" xfId="0" applyNumberFormat="1" applyBorder="1" applyAlignment="1">
      <alignment horizontal="center" vertical="center"/>
    </xf>
    <xf numFmtId="0" fontId="3" fillId="0" borderId="37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/>
    </xf>
    <xf numFmtId="0" fontId="2" fillId="0" borderId="6" xfId="0" applyFont="1" applyBorder="1" applyAlignment="1">
      <alignment horizontal="left" vertical="center" wrapText="1"/>
    </xf>
    <xf numFmtId="0" fontId="2" fillId="0" borderId="5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6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2" fillId="0" borderId="6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64" fontId="3" fillId="0" borderId="61" xfId="0" applyNumberFormat="1" applyFont="1" applyBorder="1" applyAlignment="1">
      <alignment horizontal="center" wrapText="1"/>
    </xf>
    <xf numFmtId="0" fontId="2" fillId="0" borderId="61" xfId="0" applyFont="1" applyBorder="1" applyAlignment="1">
      <alignment horizontal="left" vertical="center" wrapText="1"/>
    </xf>
    <xf numFmtId="0" fontId="11" fillId="0" borderId="39" xfId="0" applyFont="1" applyBorder="1" applyAlignment="1">
      <alignment horizontal="center" wrapText="1"/>
    </xf>
    <xf numFmtId="0" fontId="11" fillId="0" borderId="51" xfId="0" applyFont="1" applyBorder="1" applyAlignment="1">
      <alignment horizontal="center" wrapText="1"/>
    </xf>
    <xf numFmtId="0" fontId="11" fillId="0" borderId="52" xfId="0" applyFont="1" applyBorder="1" applyAlignment="1">
      <alignment horizont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4" fontId="11" fillId="0" borderId="61" xfId="0" applyNumberFormat="1" applyFont="1" applyBorder="1" applyAlignment="1">
      <alignment horizontal="center" wrapText="1"/>
    </xf>
    <xf numFmtId="0" fontId="15" fillId="0" borderId="32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164" fontId="15" fillId="0" borderId="1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 wrapText="1"/>
    </xf>
    <xf numFmtId="0" fontId="2" fillId="0" borderId="71" xfId="0" applyFont="1" applyBorder="1" applyAlignment="1">
      <alignment horizontal="center" vertical="center" wrapText="1"/>
    </xf>
    <xf numFmtId="0" fontId="2" fillId="0" borderId="6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73" xfId="0" applyFont="1" applyBorder="1" applyAlignment="1">
      <alignment horizontal="center" vertical="center" wrapText="1"/>
    </xf>
    <xf numFmtId="0" fontId="0" fillId="0" borderId="12" xfId="0" applyBorder="1"/>
    <xf numFmtId="0" fontId="2" fillId="0" borderId="63" xfId="0" applyFont="1" applyBorder="1" applyAlignment="1">
      <alignment horizontal="center" vertical="center" wrapText="1"/>
    </xf>
    <xf numFmtId="0" fontId="2" fillId="0" borderId="65" xfId="0" applyFont="1" applyBorder="1" applyAlignment="1">
      <alignment horizontal="center" vertical="center" wrapText="1"/>
    </xf>
    <xf numFmtId="164" fontId="3" fillId="0" borderId="66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74" xfId="0" applyFont="1" applyBorder="1" applyAlignment="1">
      <alignment horizontal="left" vertical="center" wrapText="1"/>
    </xf>
    <xf numFmtId="0" fontId="2" fillId="0" borderId="75" xfId="0" applyFont="1" applyBorder="1" applyAlignment="1">
      <alignment horizontal="left" vertical="center" wrapText="1"/>
    </xf>
    <xf numFmtId="0" fontId="2" fillId="0" borderId="76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9" fillId="0" borderId="77" xfId="0" applyFont="1" applyBorder="1" applyAlignment="1">
      <alignment horizontal="left" vertical="center" wrapText="1"/>
    </xf>
    <xf numFmtId="0" fontId="2" fillId="0" borderId="79" xfId="0" applyFont="1" applyBorder="1" applyAlignment="1">
      <alignment horizontal="left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1" fillId="0" borderId="26" xfId="0" applyFont="1" applyBorder="1" applyAlignment="1">
      <alignment horizontal="center" wrapText="1"/>
    </xf>
    <xf numFmtId="0" fontId="11" fillId="0" borderId="61" xfId="0" applyFont="1" applyBorder="1" applyAlignment="1">
      <alignment horizontal="center" wrapText="1"/>
    </xf>
    <xf numFmtId="164" fontId="16" fillId="0" borderId="3" xfId="0" applyNumberFormat="1" applyFont="1" applyBorder="1" applyAlignment="1">
      <alignment horizontal="center" wrapText="1"/>
    </xf>
    <xf numFmtId="0" fontId="15" fillId="0" borderId="24" xfId="0" applyFont="1" applyBorder="1" applyAlignment="1">
      <alignment horizontal="center" vertical="center"/>
    </xf>
    <xf numFmtId="164" fontId="16" fillId="0" borderId="4" xfId="0" applyNumberFormat="1" applyFont="1" applyBorder="1" applyAlignment="1">
      <alignment horizontal="center" wrapText="1"/>
    </xf>
    <xf numFmtId="164" fontId="16" fillId="0" borderId="16" xfId="0" applyNumberFormat="1" applyFont="1" applyBorder="1" applyAlignment="1">
      <alignment horizontal="center" wrapText="1"/>
    </xf>
    <xf numFmtId="0" fontId="9" fillId="0" borderId="6" xfId="0" applyFont="1" applyBorder="1" applyAlignment="1">
      <alignment horizontal="left" vertical="center" wrapText="1"/>
    </xf>
    <xf numFmtId="0" fontId="14" fillId="0" borderId="39" xfId="0" applyFont="1" applyBorder="1" applyAlignment="1">
      <alignment horizontal="left" vertical="center" wrapText="1"/>
    </xf>
    <xf numFmtId="0" fontId="9" fillId="0" borderId="39" xfId="0" applyFont="1" applyBorder="1" applyAlignment="1">
      <alignment horizontal="left"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1" fillId="0" borderId="35" xfId="0" applyFont="1" applyBorder="1" applyAlignment="1">
      <alignment horizontal="center" wrapText="1"/>
    </xf>
    <xf numFmtId="0" fontId="11" fillId="0" borderId="18" xfId="0" applyFont="1" applyBorder="1" applyAlignment="1">
      <alignment horizontal="center" wrapText="1"/>
    </xf>
    <xf numFmtId="0" fontId="11" fillId="2" borderId="61" xfId="0" applyFont="1" applyFill="1" applyBorder="1" applyAlignment="1">
      <alignment horizont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164" fontId="16" fillId="0" borderId="45" xfId="0" applyNumberFormat="1" applyFont="1" applyBorder="1" applyAlignment="1">
      <alignment horizontal="center" wrapText="1"/>
    </xf>
    <xf numFmtId="164" fontId="16" fillId="0" borderId="60" xfId="0" applyNumberFormat="1" applyFont="1" applyBorder="1" applyAlignment="1">
      <alignment horizontal="center" wrapText="1"/>
    </xf>
    <xf numFmtId="164" fontId="16" fillId="0" borderId="62" xfId="0" applyNumberFormat="1" applyFont="1" applyBorder="1" applyAlignment="1">
      <alignment horizontal="center" wrapText="1"/>
    </xf>
    <xf numFmtId="164" fontId="16" fillId="0" borderId="61" xfId="0" applyNumberFormat="1" applyFont="1" applyBorder="1" applyAlignment="1">
      <alignment horizontal="center" wrapText="1"/>
    </xf>
    <xf numFmtId="164" fontId="16" fillId="0" borderId="67" xfId="0" applyNumberFormat="1" applyFont="1" applyBorder="1" applyAlignment="1">
      <alignment horizontal="center" wrapText="1"/>
    </xf>
    <xf numFmtId="0" fontId="15" fillId="0" borderId="61" xfId="0" applyFont="1" applyBorder="1" applyAlignment="1">
      <alignment horizontal="center"/>
    </xf>
    <xf numFmtId="164" fontId="15" fillId="0" borderId="61" xfId="0" applyNumberFormat="1" applyFont="1" applyBorder="1" applyAlignment="1">
      <alignment horizontal="center" vertical="center"/>
    </xf>
    <xf numFmtId="164" fontId="16" fillId="0" borderId="7" xfId="0" applyNumberFormat="1" applyFont="1" applyBorder="1" applyAlignment="1">
      <alignment horizontal="center" wrapText="1"/>
    </xf>
    <xf numFmtId="16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1" fillId="0" borderId="37" xfId="0" applyFont="1" applyBorder="1" applyAlignment="1">
      <alignment horizontal="center" wrapText="1"/>
    </xf>
    <xf numFmtId="0" fontId="12" fillId="0" borderId="18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4" fontId="11" fillId="0" borderId="66" xfId="0" applyNumberFormat="1" applyFont="1" applyBorder="1" applyAlignment="1">
      <alignment horizontal="center" wrapText="1"/>
    </xf>
    <xf numFmtId="0" fontId="12" fillId="0" borderId="61" xfId="0" applyFont="1" applyBorder="1" applyAlignment="1">
      <alignment horizontal="center" vertical="center" wrapText="1"/>
    </xf>
    <xf numFmtId="164" fontId="14" fillId="0" borderId="61" xfId="0" applyNumberFormat="1" applyFont="1" applyBorder="1" applyAlignment="1">
      <alignment horizontal="center" vertical="center" wrapText="1"/>
    </xf>
    <xf numFmtId="164" fontId="16" fillId="0" borderId="66" xfId="0" applyNumberFormat="1" applyFont="1" applyBorder="1" applyAlignment="1">
      <alignment horizontal="center" wrapText="1"/>
    </xf>
    <xf numFmtId="0" fontId="9" fillId="0" borderId="71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wrapText="1"/>
    </xf>
    <xf numFmtId="164" fontId="16" fillId="0" borderId="40" xfId="0" applyNumberFormat="1" applyFont="1" applyBorder="1" applyAlignment="1">
      <alignment horizontal="center" wrapText="1"/>
    </xf>
    <xf numFmtId="164" fontId="16" fillId="0" borderId="22" xfId="0" applyNumberFormat="1" applyFont="1" applyBorder="1" applyAlignment="1">
      <alignment horizontal="center" wrapText="1"/>
    </xf>
    <xf numFmtId="164" fontId="16" fillId="0" borderId="5" xfId="0" applyNumberFormat="1" applyFont="1" applyBorder="1" applyAlignment="1">
      <alignment horizontal="center" wrapText="1"/>
    </xf>
    <xf numFmtId="164" fontId="16" fillId="0" borderId="25" xfId="0" applyNumberFormat="1" applyFont="1" applyBorder="1" applyAlignment="1">
      <alignment horizontal="center" wrapText="1"/>
    </xf>
    <xf numFmtId="0" fontId="12" fillId="0" borderId="2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/>
    </xf>
    <xf numFmtId="0" fontId="9" fillId="0" borderId="60" xfId="0" applyFont="1" applyBorder="1" applyAlignment="1">
      <alignment horizontal="left" vertical="center" wrapText="1"/>
    </xf>
    <xf numFmtId="0" fontId="14" fillId="0" borderId="61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164" fontId="12" fillId="0" borderId="61" xfId="0" applyNumberFormat="1" applyFont="1" applyBorder="1" applyAlignment="1">
      <alignment horizontal="center" vertical="center" wrapText="1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4" fillId="0" borderId="50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wrapText="1"/>
    </xf>
    <xf numFmtId="0" fontId="2" fillId="0" borderId="22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wrapText="1"/>
    </xf>
    <xf numFmtId="164" fontId="3" fillId="0" borderId="22" xfId="0" applyNumberFormat="1" applyFont="1" applyBorder="1" applyAlignment="1">
      <alignment horizontal="center" wrapText="1"/>
    </xf>
    <xf numFmtId="164" fontId="16" fillId="0" borderId="3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16" fillId="3" borderId="61" xfId="0" applyNumberFormat="1" applyFont="1" applyFill="1" applyBorder="1" applyAlignment="1">
      <alignment horizontal="center" wrapText="1"/>
    </xf>
    <xf numFmtId="164" fontId="16" fillId="3" borderId="3" xfId="0" applyNumberFormat="1" applyFont="1" applyFill="1" applyBorder="1" applyAlignment="1">
      <alignment horizontal="center" wrapText="1"/>
    </xf>
    <xf numFmtId="164" fontId="16" fillId="3" borderId="4" xfId="0" applyNumberFormat="1" applyFont="1" applyFill="1" applyBorder="1" applyAlignment="1">
      <alignment horizontal="center" wrapText="1"/>
    </xf>
    <xf numFmtId="164" fontId="11" fillId="3" borderId="61" xfId="0" applyNumberFormat="1" applyFont="1" applyFill="1" applyBorder="1" applyAlignment="1">
      <alignment horizontal="center" wrapText="1"/>
    </xf>
    <xf numFmtId="164" fontId="5" fillId="0" borderId="0" xfId="0" applyNumberFormat="1" applyFont="1" applyAlignment="1">
      <alignment horizontal="center" wrapText="1"/>
    </xf>
    <xf numFmtId="0" fontId="4" fillId="0" borderId="82" xfId="0" applyFont="1" applyBorder="1" applyAlignment="1">
      <alignment horizontal="center" vertical="center" wrapText="1"/>
    </xf>
    <xf numFmtId="0" fontId="4" fillId="0" borderId="83" xfId="0" applyFont="1" applyBorder="1" applyAlignment="1">
      <alignment horizontal="center" vertical="center" wrapText="1"/>
    </xf>
    <xf numFmtId="164" fontId="4" fillId="0" borderId="84" xfId="0" applyNumberFormat="1" applyFont="1" applyBorder="1" applyAlignment="1">
      <alignment horizontal="center" vertical="center" wrapText="1"/>
    </xf>
    <xf numFmtId="164" fontId="17" fillId="0" borderId="6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/>
    </xf>
    <xf numFmtId="0" fontId="5" fillId="0" borderId="0" xfId="0" applyFont="1"/>
    <xf numFmtId="0" fontId="14" fillId="0" borderId="70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0" borderId="63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2" fillId="0" borderId="53" xfId="0" applyFont="1" applyBorder="1" applyAlignment="1">
      <alignment horizontal="left" vertical="center" wrapText="1"/>
    </xf>
    <xf numFmtId="0" fontId="2" fillId="0" borderId="54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68" xfId="0" applyFont="1" applyBorder="1" applyAlignment="1">
      <alignment horizontal="center" vertical="center" wrapText="1"/>
    </xf>
    <xf numFmtId="0" fontId="2" fillId="0" borderId="6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2" fillId="0" borderId="55" xfId="0" applyFont="1" applyBorder="1" applyAlignment="1">
      <alignment horizontal="left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14" fillId="0" borderId="78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 wrapText="1"/>
    </xf>
    <xf numFmtId="0" fontId="14" fillId="0" borderId="76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2" fillId="0" borderId="61" xfId="0" applyFont="1" applyBorder="1" applyAlignment="1">
      <alignment horizontal="center" vertical="center" wrapText="1"/>
    </xf>
    <xf numFmtId="0" fontId="9" fillId="0" borderId="53" xfId="0" applyFont="1" applyBorder="1" applyAlignment="1">
      <alignment horizontal="left" vertical="center" wrapText="1"/>
    </xf>
    <xf numFmtId="0" fontId="9" fillId="0" borderId="54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68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9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9"/>
  <sheetViews>
    <sheetView zoomScale="120" zoomScaleNormal="120" workbookViewId="0">
      <selection activeCell="H149" sqref="H149"/>
    </sheetView>
  </sheetViews>
  <sheetFormatPr baseColWidth="10" defaultColWidth="11.42578125" defaultRowHeight="15" x14ac:dyDescent="0.25"/>
  <cols>
    <col min="1" max="1" width="19.5703125" style="154" customWidth="1"/>
    <col min="2" max="2" width="19.28515625" style="94" customWidth="1"/>
    <col min="3" max="5" width="5.7109375" customWidth="1"/>
    <col min="6" max="6" width="6.5703125" customWidth="1"/>
    <col min="7" max="11" width="5.7109375" customWidth="1"/>
    <col min="12" max="12" width="6.140625" customWidth="1"/>
    <col min="13" max="13" width="6.7109375" customWidth="1"/>
    <col min="14" max="14" width="6.7109375" style="76" customWidth="1"/>
    <col min="15" max="15" width="6.140625" style="77" customWidth="1"/>
    <col min="16" max="16" width="7" customWidth="1"/>
  </cols>
  <sheetData>
    <row r="1" spans="1:16" ht="24" customHeight="1" x14ac:dyDescent="0.25"/>
    <row r="2" spans="1:16" ht="18" customHeight="1" x14ac:dyDescent="0.25"/>
    <row r="3" spans="1:16" s="76" customFormat="1" ht="20.25" customHeight="1" thickBot="1" x14ac:dyDescent="0.3">
      <c r="A3" s="156"/>
      <c r="B3" s="97"/>
      <c r="O3" s="77"/>
    </row>
    <row r="4" spans="1:16" ht="21.75" customHeight="1" x14ac:dyDescent="0.25">
      <c r="A4" s="224" t="s">
        <v>1</v>
      </c>
      <c r="B4" s="244" t="s">
        <v>2</v>
      </c>
      <c r="C4" s="233" t="s">
        <v>169</v>
      </c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5"/>
    </row>
    <row r="5" spans="1:16" ht="15.75" customHeight="1" thickBot="1" x14ac:dyDescent="0.3">
      <c r="A5" s="225"/>
      <c r="B5" s="245"/>
      <c r="C5" s="236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238"/>
    </row>
    <row r="6" spans="1:16" ht="36" customHeight="1" x14ac:dyDescent="0.25">
      <c r="A6" s="226"/>
      <c r="B6" s="245"/>
      <c r="C6" s="19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1">
        <v>10</v>
      </c>
      <c r="M6" s="60" t="s">
        <v>142</v>
      </c>
      <c r="N6" s="1" t="s">
        <v>105</v>
      </c>
      <c r="O6" s="57" t="s">
        <v>106</v>
      </c>
      <c r="P6" s="84" t="s">
        <v>0</v>
      </c>
    </row>
    <row r="7" spans="1:16" s="76" customFormat="1" ht="24.95" customHeight="1" x14ac:dyDescent="0.25">
      <c r="A7" s="222" t="s">
        <v>126</v>
      </c>
      <c r="B7" s="106" t="s">
        <v>115</v>
      </c>
      <c r="C7" s="87"/>
      <c r="D7" s="87"/>
      <c r="E7" s="87"/>
      <c r="F7" s="87"/>
      <c r="G7" s="87"/>
      <c r="H7" s="87"/>
      <c r="I7" s="87"/>
      <c r="J7" s="87"/>
      <c r="K7" s="87"/>
      <c r="L7" s="87"/>
      <c r="M7" s="88">
        <f>COUNTIF(C7:L7,"&gt;0")</f>
        <v>0</v>
      </c>
      <c r="N7" s="88">
        <f>COUNTIF(C7:L7,"&gt;20")</f>
        <v>0</v>
      </c>
      <c r="O7" s="89">
        <f>MAX(C7:L7)</f>
        <v>0</v>
      </c>
      <c r="P7" s="89">
        <f>SUM(C7:L7)</f>
        <v>0</v>
      </c>
    </row>
    <row r="8" spans="1:16" s="76" customFormat="1" ht="24.95" customHeight="1" x14ac:dyDescent="0.25">
      <c r="A8" s="223"/>
      <c r="B8" s="106" t="s">
        <v>103</v>
      </c>
      <c r="C8" s="218"/>
      <c r="D8" s="218"/>
      <c r="E8" s="218"/>
      <c r="F8" s="218"/>
      <c r="G8" s="218"/>
      <c r="H8" s="218"/>
      <c r="I8" s="218">
        <v>1.7</v>
      </c>
      <c r="J8" s="218"/>
      <c r="K8" s="218"/>
      <c r="L8" s="218"/>
      <c r="M8" s="88">
        <f t="shared" ref="M8:M21" si="0">COUNTIF(C8:L8,"&gt;0")</f>
        <v>1</v>
      </c>
      <c r="N8" s="88">
        <f t="shared" ref="N8:N21" si="1">COUNTIF(C8:L8,"&gt;20")</f>
        <v>0</v>
      </c>
      <c r="O8" s="89">
        <f t="shared" ref="O8:O21" si="2">MAX(C8:L8)</f>
        <v>1.7</v>
      </c>
      <c r="P8" s="89">
        <f t="shared" ref="P8:P21" si="3">SUM(C8:L8)</f>
        <v>1.7</v>
      </c>
    </row>
    <row r="9" spans="1:16" ht="24.95" customHeight="1" x14ac:dyDescent="0.25">
      <c r="A9" s="223"/>
      <c r="B9" s="106" t="s">
        <v>104</v>
      </c>
      <c r="C9" s="87">
        <v>0</v>
      </c>
      <c r="D9" s="87">
        <v>0</v>
      </c>
      <c r="E9" s="87">
        <v>0</v>
      </c>
      <c r="F9" s="87">
        <v>0</v>
      </c>
      <c r="G9" s="87">
        <v>0</v>
      </c>
      <c r="H9" s="87">
        <v>2.2000000000000002</v>
      </c>
      <c r="I9" s="87">
        <v>0</v>
      </c>
      <c r="J9" s="87">
        <v>0</v>
      </c>
      <c r="K9" s="87">
        <v>0</v>
      </c>
      <c r="L9" s="87">
        <v>0</v>
      </c>
      <c r="M9" s="88">
        <f t="shared" si="0"/>
        <v>1</v>
      </c>
      <c r="N9" s="88">
        <f t="shared" si="1"/>
        <v>0</v>
      </c>
      <c r="O9" s="89">
        <f t="shared" si="2"/>
        <v>2.2000000000000002</v>
      </c>
      <c r="P9" s="89">
        <f t="shared" si="3"/>
        <v>2.2000000000000002</v>
      </c>
    </row>
    <row r="10" spans="1:16" ht="24.95" customHeight="1" x14ac:dyDescent="0.25">
      <c r="A10" s="223"/>
      <c r="B10" s="106" t="s">
        <v>85</v>
      </c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88">
        <f t="shared" si="0"/>
        <v>0</v>
      </c>
      <c r="N10" s="88">
        <f t="shared" si="1"/>
        <v>0</v>
      </c>
      <c r="O10" s="89">
        <f t="shared" si="2"/>
        <v>0</v>
      </c>
      <c r="P10" s="89">
        <f t="shared" si="3"/>
        <v>0</v>
      </c>
    </row>
    <row r="11" spans="1:16" ht="24.95" customHeight="1" x14ac:dyDescent="0.25">
      <c r="A11" s="223"/>
      <c r="B11" s="106" t="s">
        <v>93</v>
      </c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8">
        <f t="shared" si="0"/>
        <v>0</v>
      </c>
      <c r="N11" s="88">
        <f t="shared" si="1"/>
        <v>0</v>
      </c>
      <c r="O11" s="89">
        <f t="shared" si="2"/>
        <v>0</v>
      </c>
      <c r="P11" s="89">
        <f t="shared" si="3"/>
        <v>0</v>
      </c>
    </row>
    <row r="12" spans="1:16" ht="24.95" customHeight="1" x14ac:dyDescent="0.25">
      <c r="A12" s="223"/>
      <c r="B12" s="106" t="s">
        <v>117</v>
      </c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8">
        <f t="shared" si="0"/>
        <v>0</v>
      </c>
      <c r="N12" s="88">
        <f t="shared" si="1"/>
        <v>0</v>
      </c>
      <c r="O12" s="89">
        <f t="shared" si="2"/>
        <v>0</v>
      </c>
      <c r="P12" s="89">
        <f t="shared" si="3"/>
        <v>0</v>
      </c>
    </row>
    <row r="13" spans="1:16" ht="24.95" customHeight="1" x14ac:dyDescent="0.25">
      <c r="A13" s="223"/>
      <c r="B13" s="106" t="s">
        <v>116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8">
        <f>COUNTIF(C13:L13,"&gt;0")</f>
        <v>0</v>
      </c>
      <c r="N13" s="88">
        <f>COUNTIF(C13:L13,"&gt;20")</f>
        <v>0</v>
      </c>
      <c r="O13" s="89">
        <f>MAX(C13:L13)</f>
        <v>0</v>
      </c>
      <c r="P13" s="89">
        <f>SUM(C13:L13)</f>
        <v>0</v>
      </c>
    </row>
    <row r="14" spans="1:16" ht="24.95" customHeight="1" x14ac:dyDescent="0.25">
      <c r="A14" s="223"/>
      <c r="B14" s="106" t="s">
        <v>112</v>
      </c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8">
        <f t="shared" si="0"/>
        <v>0</v>
      </c>
      <c r="N14" s="88">
        <f t="shared" si="1"/>
        <v>0</v>
      </c>
      <c r="O14" s="89">
        <f t="shared" si="2"/>
        <v>0</v>
      </c>
      <c r="P14" s="89">
        <f t="shared" si="3"/>
        <v>0</v>
      </c>
    </row>
    <row r="15" spans="1:16" ht="24.95" customHeight="1" x14ac:dyDescent="0.25">
      <c r="A15" s="223"/>
      <c r="B15" s="106" t="s">
        <v>3</v>
      </c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8">
        <f t="shared" si="0"/>
        <v>0</v>
      </c>
      <c r="N15" s="88">
        <f t="shared" si="1"/>
        <v>0</v>
      </c>
      <c r="O15" s="89">
        <f t="shared" si="2"/>
        <v>0</v>
      </c>
      <c r="P15" s="89">
        <f t="shared" si="3"/>
        <v>0</v>
      </c>
    </row>
    <row r="16" spans="1:16" ht="24.95" customHeight="1" x14ac:dyDescent="0.25">
      <c r="A16" s="223"/>
      <c r="B16" s="106" t="s">
        <v>4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8">
        <f t="shared" si="0"/>
        <v>0</v>
      </c>
      <c r="N16" s="88">
        <f t="shared" si="1"/>
        <v>0</v>
      </c>
      <c r="O16" s="89">
        <f t="shared" si="2"/>
        <v>0</v>
      </c>
      <c r="P16" s="89">
        <f t="shared" si="3"/>
        <v>0</v>
      </c>
    </row>
    <row r="17" spans="1:16" ht="24.95" customHeight="1" x14ac:dyDescent="0.25">
      <c r="A17" s="223"/>
      <c r="B17" s="106" t="s">
        <v>7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8">
        <f t="shared" si="0"/>
        <v>0</v>
      </c>
      <c r="N17" s="88">
        <f t="shared" si="1"/>
        <v>0</v>
      </c>
      <c r="O17" s="89">
        <f t="shared" si="2"/>
        <v>0</v>
      </c>
      <c r="P17" s="89">
        <f t="shared" si="3"/>
        <v>0</v>
      </c>
    </row>
    <row r="18" spans="1:16" ht="24.95" customHeight="1" x14ac:dyDescent="0.25">
      <c r="A18" s="223"/>
      <c r="B18" s="106" t="s">
        <v>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8">
        <f t="shared" si="0"/>
        <v>0</v>
      </c>
      <c r="N18" s="88">
        <f t="shared" si="1"/>
        <v>0</v>
      </c>
      <c r="O18" s="89">
        <f t="shared" si="2"/>
        <v>0</v>
      </c>
      <c r="P18" s="89">
        <f t="shared" si="3"/>
        <v>0</v>
      </c>
    </row>
    <row r="19" spans="1:16" ht="24.95" customHeight="1" x14ac:dyDescent="0.25">
      <c r="A19" s="223"/>
      <c r="B19" s="106" t="s">
        <v>5</v>
      </c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8">
        <f t="shared" si="0"/>
        <v>0</v>
      </c>
      <c r="N19" s="88">
        <f t="shared" si="1"/>
        <v>0</v>
      </c>
      <c r="O19" s="89">
        <f t="shared" si="2"/>
        <v>0</v>
      </c>
      <c r="P19" s="89">
        <f t="shared" si="3"/>
        <v>0</v>
      </c>
    </row>
    <row r="20" spans="1:16" ht="24.95" customHeight="1" x14ac:dyDescent="0.25">
      <c r="A20" s="223"/>
      <c r="B20" s="106" t="s">
        <v>8</v>
      </c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8">
        <f t="shared" si="0"/>
        <v>0</v>
      </c>
      <c r="N20" s="88">
        <f t="shared" si="1"/>
        <v>0</v>
      </c>
      <c r="O20" s="89">
        <f t="shared" si="2"/>
        <v>0</v>
      </c>
      <c r="P20" s="89">
        <f t="shared" si="3"/>
        <v>0</v>
      </c>
    </row>
    <row r="21" spans="1:16" ht="19.5" customHeight="1" x14ac:dyDescent="0.25">
      <c r="A21" s="223"/>
      <c r="B21" s="106" t="s">
        <v>146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8">
        <f t="shared" si="0"/>
        <v>0</v>
      </c>
      <c r="N21" s="88">
        <f t="shared" si="1"/>
        <v>0</v>
      </c>
      <c r="O21" s="89">
        <f t="shared" si="2"/>
        <v>0</v>
      </c>
      <c r="P21" s="89">
        <f t="shared" si="3"/>
        <v>0</v>
      </c>
    </row>
    <row r="22" spans="1:16" ht="19.5" customHeight="1" x14ac:dyDescent="0.25"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32"/>
      <c r="P22" s="33"/>
    </row>
    <row r="23" spans="1:16" ht="19.5" customHeight="1" x14ac:dyDescent="0.25"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32"/>
      <c r="P23" s="33"/>
    </row>
    <row r="24" spans="1:16" ht="19.5" customHeight="1" x14ac:dyDescent="0.25"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32"/>
      <c r="P24" s="33"/>
    </row>
    <row r="25" spans="1:16" ht="24" customHeight="1" x14ac:dyDescent="0.25"/>
    <row r="26" spans="1:16" ht="18" customHeight="1" x14ac:dyDescent="0.25"/>
    <row r="27" spans="1:16" s="76" customFormat="1" ht="20.25" customHeight="1" thickBot="1" x14ac:dyDescent="0.3">
      <c r="A27" s="156"/>
      <c r="B27" s="97"/>
      <c r="O27" s="77"/>
    </row>
    <row r="28" spans="1:16" ht="20.100000000000001" customHeight="1" x14ac:dyDescent="0.25">
      <c r="A28" s="224" t="s">
        <v>1</v>
      </c>
      <c r="B28" s="240" t="s">
        <v>2</v>
      </c>
      <c r="C28" s="233" t="str">
        <f>C4</f>
        <v>HAUTEURS JOURNALIERES DE PLUIE :                                                                                                       1ère DECADE DE AOUT 2025</v>
      </c>
      <c r="D28" s="234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5"/>
    </row>
    <row r="29" spans="1:16" ht="20.100000000000001" customHeight="1" thickBot="1" x14ac:dyDescent="0.3">
      <c r="A29" s="225"/>
      <c r="B29" s="241"/>
      <c r="C29" s="236"/>
      <c r="D29" s="237"/>
      <c r="E29" s="237"/>
      <c r="F29" s="237"/>
      <c r="G29" s="237"/>
      <c r="H29" s="237"/>
      <c r="I29" s="237"/>
      <c r="J29" s="237"/>
      <c r="K29" s="237"/>
      <c r="L29" s="237"/>
      <c r="M29" s="237"/>
      <c r="N29" s="237"/>
      <c r="O29" s="237"/>
      <c r="P29" s="238"/>
    </row>
    <row r="30" spans="1:16" ht="23.25" customHeight="1" thickBot="1" x14ac:dyDescent="0.3">
      <c r="A30" s="226"/>
      <c r="B30" s="241"/>
      <c r="C30" s="90">
        <v>1</v>
      </c>
      <c r="D30" s="20">
        <v>2</v>
      </c>
      <c r="E30" s="20">
        <v>3</v>
      </c>
      <c r="F30" s="20">
        <v>4</v>
      </c>
      <c r="G30" s="20">
        <v>5</v>
      </c>
      <c r="H30" s="20">
        <v>6</v>
      </c>
      <c r="I30" s="20">
        <v>7</v>
      </c>
      <c r="J30" s="20">
        <v>8</v>
      </c>
      <c r="K30" s="20">
        <v>9</v>
      </c>
      <c r="L30" s="21">
        <v>10</v>
      </c>
      <c r="M30" s="60" t="s">
        <v>89</v>
      </c>
      <c r="N30" s="60" t="s">
        <v>105</v>
      </c>
      <c r="O30" s="82" t="s">
        <v>106</v>
      </c>
      <c r="P30" s="91" t="s">
        <v>0</v>
      </c>
    </row>
    <row r="31" spans="1:16" ht="23.25" customHeight="1" thickBot="1" x14ac:dyDescent="0.3">
      <c r="A31" s="227" t="s">
        <v>127</v>
      </c>
      <c r="B31" s="98" t="s">
        <v>118</v>
      </c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15">
        <f>COUNTIF(C31:L31,"&gt;0")</f>
        <v>0</v>
      </c>
      <c r="N31" s="216">
        <f>COUNTIF(C31:L31,"&gt;20")</f>
        <v>0</v>
      </c>
      <c r="O31" s="217">
        <f>MAX(C31:L31)</f>
        <v>0</v>
      </c>
      <c r="P31" s="23">
        <f>SUM(C31:L31)</f>
        <v>0</v>
      </c>
    </row>
    <row r="32" spans="1:16" ht="23.25" customHeight="1" thickBot="1" x14ac:dyDescent="0.3">
      <c r="A32" s="228"/>
      <c r="B32" s="98" t="s">
        <v>11</v>
      </c>
      <c r="C32" s="23">
        <v>7.6</v>
      </c>
      <c r="D32" s="23">
        <v>24</v>
      </c>
      <c r="E32" s="23"/>
      <c r="F32" s="23"/>
      <c r="G32" s="23">
        <v>22.5</v>
      </c>
      <c r="H32" s="23">
        <v>0.4</v>
      </c>
      <c r="I32" s="23"/>
      <c r="J32" s="23">
        <v>62.8</v>
      </c>
      <c r="K32" s="23"/>
      <c r="L32" s="23"/>
      <c r="M32" s="215">
        <f t="shared" ref="M32:M47" si="4">COUNTIF(C32:L32,"&gt;0")</f>
        <v>5</v>
      </c>
      <c r="N32" s="216">
        <f t="shared" ref="N32:N47" si="5">COUNTIF(C32:L32,"&gt;20")</f>
        <v>3</v>
      </c>
      <c r="O32" s="217">
        <f t="shared" ref="O32:O47" si="6">MAX(C32:L32)</f>
        <v>62.8</v>
      </c>
      <c r="P32" s="23">
        <f t="shared" ref="P32:P47" si="7">SUM(C32:L32)</f>
        <v>117.3</v>
      </c>
    </row>
    <row r="33" spans="1:16" ht="23.25" customHeight="1" thickBot="1" x14ac:dyDescent="0.3">
      <c r="A33" s="228"/>
      <c r="B33" s="98" t="s">
        <v>13</v>
      </c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15">
        <f t="shared" si="4"/>
        <v>0</v>
      </c>
      <c r="N33" s="216">
        <f t="shared" si="5"/>
        <v>0</v>
      </c>
      <c r="O33" s="217">
        <f t="shared" si="6"/>
        <v>0</v>
      </c>
      <c r="P33" s="23">
        <f t="shared" si="7"/>
        <v>0</v>
      </c>
    </row>
    <row r="34" spans="1:16" ht="23.25" customHeight="1" thickBot="1" x14ac:dyDescent="0.3">
      <c r="A34" s="228"/>
      <c r="B34" s="98" t="s">
        <v>15</v>
      </c>
      <c r="C34" s="23">
        <v>13</v>
      </c>
      <c r="D34" s="23">
        <v>3.7</v>
      </c>
      <c r="E34" s="23">
        <v>7.7</v>
      </c>
      <c r="F34" s="23"/>
      <c r="G34" s="23">
        <v>11</v>
      </c>
      <c r="H34" s="23"/>
      <c r="I34" s="23">
        <v>15</v>
      </c>
      <c r="J34" s="23">
        <v>19.2</v>
      </c>
      <c r="K34" s="23">
        <v>10</v>
      </c>
      <c r="L34" s="23"/>
      <c r="M34" s="215">
        <f t="shared" si="4"/>
        <v>7</v>
      </c>
      <c r="N34" s="216">
        <f t="shared" si="5"/>
        <v>0</v>
      </c>
      <c r="O34" s="217">
        <f t="shared" si="6"/>
        <v>19.2</v>
      </c>
      <c r="P34" s="23">
        <f t="shared" si="7"/>
        <v>79.599999999999994</v>
      </c>
    </row>
    <row r="35" spans="1:16" ht="23.1" customHeight="1" thickBot="1" x14ac:dyDescent="0.3">
      <c r="A35" s="228"/>
      <c r="B35" s="98" t="s">
        <v>16</v>
      </c>
      <c r="C35" s="23" t="s">
        <v>174</v>
      </c>
      <c r="D35" s="23"/>
      <c r="E35" s="23"/>
      <c r="F35" s="23"/>
      <c r="G35" s="23"/>
      <c r="H35" s="23"/>
      <c r="I35" s="23"/>
      <c r="J35" s="23"/>
      <c r="K35" s="23"/>
      <c r="L35" s="23"/>
      <c r="M35" s="215">
        <f t="shared" si="4"/>
        <v>0</v>
      </c>
      <c r="N35" s="216">
        <f t="shared" si="5"/>
        <v>0</v>
      </c>
      <c r="O35" s="217">
        <f t="shared" si="6"/>
        <v>0</v>
      </c>
      <c r="P35" s="23">
        <f t="shared" si="7"/>
        <v>0</v>
      </c>
    </row>
    <row r="36" spans="1:16" ht="23.1" customHeight="1" thickBot="1" x14ac:dyDescent="0.3">
      <c r="A36" s="228"/>
      <c r="B36" s="98" t="s">
        <v>119</v>
      </c>
      <c r="C36" s="23">
        <v>54.6</v>
      </c>
      <c r="D36" s="23"/>
      <c r="E36" s="23"/>
      <c r="F36" s="23">
        <v>17.7</v>
      </c>
      <c r="G36" s="23">
        <v>39.4</v>
      </c>
      <c r="H36" s="23">
        <v>22.1</v>
      </c>
      <c r="I36" s="23">
        <v>42.2</v>
      </c>
      <c r="J36" s="23"/>
      <c r="K36" s="23"/>
      <c r="L36" s="23"/>
      <c r="M36" s="215">
        <f t="shared" si="4"/>
        <v>5</v>
      </c>
      <c r="N36" s="216">
        <f t="shared" si="5"/>
        <v>4</v>
      </c>
      <c r="O36" s="217">
        <f t="shared" si="6"/>
        <v>54.6</v>
      </c>
      <c r="P36" s="23">
        <f t="shared" si="7"/>
        <v>176</v>
      </c>
    </row>
    <row r="37" spans="1:16" ht="23.1" customHeight="1" thickBot="1" x14ac:dyDescent="0.3">
      <c r="A37" s="228"/>
      <c r="B37" s="50" t="s">
        <v>21</v>
      </c>
      <c r="C37" s="218">
        <v>11</v>
      </c>
      <c r="D37" s="218">
        <v>122</v>
      </c>
      <c r="E37" s="218">
        <v>0</v>
      </c>
      <c r="F37" s="218">
        <v>1</v>
      </c>
      <c r="G37" s="218">
        <v>20.2</v>
      </c>
      <c r="H37" s="218"/>
      <c r="I37" s="218">
        <v>6.5</v>
      </c>
      <c r="J37" s="218">
        <v>19.600000000000001</v>
      </c>
      <c r="K37" s="218"/>
      <c r="L37" s="218"/>
      <c r="M37" s="215">
        <f t="shared" si="4"/>
        <v>6</v>
      </c>
      <c r="N37" s="216">
        <f t="shared" si="5"/>
        <v>2</v>
      </c>
      <c r="O37" s="217">
        <f t="shared" si="6"/>
        <v>122</v>
      </c>
      <c r="P37" s="23">
        <f t="shared" si="7"/>
        <v>180.29999999999998</v>
      </c>
    </row>
    <row r="38" spans="1:16" ht="23.1" customHeight="1" thickBot="1" x14ac:dyDescent="0.3">
      <c r="A38" s="228"/>
      <c r="B38" s="50" t="s">
        <v>19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15">
        <f t="shared" si="4"/>
        <v>0</v>
      </c>
      <c r="N38" s="216">
        <f t="shared" si="5"/>
        <v>0</v>
      </c>
      <c r="O38" s="217">
        <f t="shared" si="6"/>
        <v>0</v>
      </c>
      <c r="P38" s="23">
        <f t="shared" si="7"/>
        <v>0</v>
      </c>
    </row>
    <row r="39" spans="1:16" ht="23.1" customHeight="1" thickBot="1" x14ac:dyDescent="0.3">
      <c r="A39" s="228"/>
      <c r="B39" s="96" t="s">
        <v>22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15">
        <f t="shared" si="4"/>
        <v>0</v>
      </c>
      <c r="N39" s="216">
        <f t="shared" si="5"/>
        <v>0</v>
      </c>
      <c r="O39" s="217">
        <f t="shared" si="6"/>
        <v>0</v>
      </c>
      <c r="P39" s="23">
        <f t="shared" si="7"/>
        <v>0</v>
      </c>
    </row>
    <row r="40" spans="1:16" ht="23.1" customHeight="1" thickBot="1" x14ac:dyDescent="0.3">
      <c r="A40" s="228"/>
      <c r="B40" s="50" t="s">
        <v>84</v>
      </c>
      <c r="C40" s="23">
        <v>8.5</v>
      </c>
      <c r="D40" s="23">
        <v>4.3</v>
      </c>
      <c r="E40" s="23">
        <v>19.600000000000001</v>
      </c>
      <c r="F40" s="23"/>
      <c r="G40" s="23">
        <v>4.9000000000000004</v>
      </c>
      <c r="H40" s="23"/>
      <c r="I40" s="23"/>
      <c r="J40" s="23"/>
      <c r="K40" s="23"/>
      <c r="L40" s="23">
        <v>12.8</v>
      </c>
      <c r="M40" s="215">
        <f t="shared" si="4"/>
        <v>5</v>
      </c>
      <c r="N40" s="216">
        <f t="shared" si="5"/>
        <v>0</v>
      </c>
      <c r="O40" s="217">
        <f t="shared" si="6"/>
        <v>19.600000000000001</v>
      </c>
      <c r="P40" s="23">
        <f t="shared" si="7"/>
        <v>50.100000000000009</v>
      </c>
    </row>
    <row r="41" spans="1:16" ht="23.1" customHeight="1" thickBot="1" x14ac:dyDescent="0.3">
      <c r="A41" s="228"/>
      <c r="B41" s="50" t="s">
        <v>108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15">
        <f t="shared" si="4"/>
        <v>0</v>
      </c>
      <c r="N41" s="216">
        <f t="shared" si="5"/>
        <v>0</v>
      </c>
      <c r="O41" s="217">
        <f t="shared" si="6"/>
        <v>0</v>
      </c>
      <c r="P41" s="23">
        <f t="shared" si="7"/>
        <v>0</v>
      </c>
    </row>
    <row r="42" spans="1:16" ht="23.1" customHeight="1" thickBot="1" x14ac:dyDescent="0.3">
      <c r="A42" s="228"/>
      <c r="B42" s="50" t="s">
        <v>9</v>
      </c>
      <c r="C42" s="23">
        <v>64</v>
      </c>
      <c r="D42" s="23">
        <v>2</v>
      </c>
      <c r="E42" s="23"/>
      <c r="F42" s="23"/>
      <c r="G42" s="23">
        <v>7.6</v>
      </c>
      <c r="H42" s="23"/>
      <c r="I42" s="23"/>
      <c r="J42" s="23"/>
      <c r="K42" s="23">
        <v>16</v>
      </c>
      <c r="L42" s="23"/>
      <c r="M42" s="215">
        <f t="shared" si="4"/>
        <v>4</v>
      </c>
      <c r="N42" s="216">
        <f t="shared" si="5"/>
        <v>1</v>
      </c>
      <c r="O42" s="217">
        <f t="shared" si="6"/>
        <v>64</v>
      </c>
      <c r="P42" s="23">
        <f t="shared" si="7"/>
        <v>89.6</v>
      </c>
    </row>
    <row r="43" spans="1:16" ht="23.1" customHeight="1" thickBot="1" x14ac:dyDescent="0.3">
      <c r="A43" s="228"/>
      <c r="B43" s="50" t="s">
        <v>14</v>
      </c>
      <c r="C43" s="23">
        <v>21.5</v>
      </c>
      <c r="D43" s="23">
        <v>11</v>
      </c>
      <c r="E43" s="23"/>
      <c r="F43" s="23">
        <v>11</v>
      </c>
      <c r="G43" s="23">
        <v>27.4</v>
      </c>
      <c r="H43" s="23"/>
      <c r="I43" s="23">
        <v>4.9000000000000004</v>
      </c>
      <c r="J43" s="23">
        <v>1.7</v>
      </c>
      <c r="K43" s="23"/>
      <c r="L43" s="23"/>
      <c r="M43" s="215">
        <f t="shared" si="4"/>
        <v>6</v>
      </c>
      <c r="N43" s="216">
        <f t="shared" si="5"/>
        <v>2</v>
      </c>
      <c r="O43" s="217">
        <f t="shared" si="6"/>
        <v>27.4</v>
      </c>
      <c r="P43" s="23">
        <f t="shared" si="7"/>
        <v>77.500000000000014</v>
      </c>
    </row>
    <row r="44" spans="1:16" ht="23.1" customHeight="1" thickBot="1" x14ac:dyDescent="0.3">
      <c r="A44" s="228"/>
      <c r="B44" s="50" t="s">
        <v>12</v>
      </c>
      <c r="C44" s="23">
        <v>7.9</v>
      </c>
      <c r="D44" s="23">
        <v>20.2</v>
      </c>
      <c r="E44" s="23">
        <v>6.6</v>
      </c>
      <c r="F44" s="23">
        <v>5</v>
      </c>
      <c r="G44" s="23">
        <v>20.7</v>
      </c>
      <c r="H44" s="23"/>
      <c r="I44" s="23">
        <v>4.8</v>
      </c>
      <c r="J44" s="23" t="s">
        <v>173</v>
      </c>
      <c r="K44" s="23" t="s">
        <v>173</v>
      </c>
      <c r="L44" s="23"/>
      <c r="M44" s="215">
        <f t="shared" si="4"/>
        <v>6</v>
      </c>
      <c r="N44" s="216">
        <f t="shared" si="5"/>
        <v>2</v>
      </c>
      <c r="O44" s="217">
        <f t="shared" si="6"/>
        <v>20.7</v>
      </c>
      <c r="P44" s="23">
        <f t="shared" si="7"/>
        <v>65.2</v>
      </c>
    </row>
    <row r="45" spans="1:16" ht="23.1" customHeight="1" thickBot="1" x14ac:dyDescent="0.3">
      <c r="A45" s="228"/>
      <c r="B45" s="50" t="s">
        <v>113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15">
        <f t="shared" si="4"/>
        <v>0</v>
      </c>
      <c r="N45" s="216">
        <f t="shared" si="5"/>
        <v>0</v>
      </c>
      <c r="O45" s="217">
        <f t="shared" si="6"/>
        <v>0</v>
      </c>
      <c r="P45" s="23">
        <f t="shared" si="7"/>
        <v>0</v>
      </c>
    </row>
    <row r="46" spans="1:16" ht="23.1" customHeight="1" thickBot="1" x14ac:dyDescent="0.3">
      <c r="A46" s="228"/>
      <c r="B46" s="50" t="s">
        <v>18</v>
      </c>
      <c r="C46" s="23">
        <v>1.7</v>
      </c>
      <c r="D46" s="23">
        <v>24.5</v>
      </c>
      <c r="E46" s="23">
        <v>0.7</v>
      </c>
      <c r="F46" s="23">
        <v>2.5</v>
      </c>
      <c r="G46" s="23">
        <v>14.5</v>
      </c>
      <c r="H46" s="23"/>
      <c r="I46" s="23"/>
      <c r="J46" s="23"/>
      <c r="K46" s="23"/>
      <c r="L46" s="23"/>
      <c r="M46" s="215">
        <f t="shared" si="4"/>
        <v>5</v>
      </c>
      <c r="N46" s="216">
        <f t="shared" si="5"/>
        <v>1</v>
      </c>
      <c r="O46" s="217">
        <f t="shared" si="6"/>
        <v>24.5</v>
      </c>
      <c r="P46" s="23">
        <f t="shared" si="7"/>
        <v>43.9</v>
      </c>
    </row>
    <row r="47" spans="1:16" ht="23.1" customHeight="1" thickBot="1" x14ac:dyDescent="0.3">
      <c r="A47" s="229"/>
      <c r="B47" s="95" t="s">
        <v>17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15">
        <f t="shared" si="4"/>
        <v>0</v>
      </c>
      <c r="N47" s="216">
        <f t="shared" si="5"/>
        <v>0</v>
      </c>
      <c r="O47" s="217">
        <f t="shared" si="6"/>
        <v>0</v>
      </c>
      <c r="P47" s="23">
        <f t="shared" si="7"/>
        <v>0</v>
      </c>
    </row>
    <row r="48" spans="1:16" ht="18" customHeight="1" x14ac:dyDescent="0.25">
      <c r="B48" s="243"/>
      <c r="C48" s="243"/>
      <c r="D48" s="243"/>
      <c r="E48" s="243"/>
      <c r="F48" s="243"/>
      <c r="G48" s="243"/>
      <c r="H48" s="243"/>
      <c r="I48" s="243"/>
      <c r="J48" s="243"/>
      <c r="K48" s="243"/>
      <c r="L48" s="243"/>
      <c r="M48" s="243"/>
      <c r="N48" s="243"/>
      <c r="O48" s="32"/>
      <c r="P48" s="33"/>
    </row>
    <row r="49" spans="1:16" ht="24" customHeight="1" x14ac:dyDescent="0.25"/>
    <row r="50" spans="1:16" ht="18" customHeight="1" x14ac:dyDescent="0.25"/>
    <row r="51" spans="1:16" s="76" customFormat="1" ht="20.25" customHeight="1" thickBot="1" x14ac:dyDescent="0.3">
      <c r="A51" s="156"/>
      <c r="B51" s="97"/>
      <c r="O51" s="77"/>
    </row>
    <row r="52" spans="1:16" ht="20.100000000000001" customHeight="1" x14ac:dyDescent="0.25">
      <c r="A52" s="224" t="s">
        <v>1</v>
      </c>
      <c r="B52" s="240" t="s">
        <v>2</v>
      </c>
      <c r="C52" s="233" t="str">
        <f>C4</f>
        <v>HAUTEURS JOURNALIERES DE PLUIE :                                                                                                       1ère DECADE DE AOUT 2025</v>
      </c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5"/>
    </row>
    <row r="53" spans="1:16" ht="15" customHeight="1" thickBot="1" x14ac:dyDescent="0.3">
      <c r="A53" s="225"/>
      <c r="B53" s="241"/>
      <c r="C53" s="236"/>
      <c r="D53" s="237"/>
      <c r="E53" s="237"/>
      <c r="F53" s="237"/>
      <c r="G53" s="237"/>
      <c r="H53" s="237"/>
      <c r="I53" s="237"/>
      <c r="J53" s="237"/>
      <c r="K53" s="237"/>
      <c r="L53" s="237"/>
      <c r="M53" s="237"/>
      <c r="N53" s="237"/>
      <c r="O53" s="237"/>
      <c r="P53" s="238"/>
    </row>
    <row r="54" spans="1:16" ht="24" customHeight="1" thickBot="1" x14ac:dyDescent="0.3">
      <c r="A54" s="226"/>
      <c r="B54" s="242"/>
      <c r="C54" s="51">
        <v>1</v>
      </c>
      <c r="D54" s="52">
        <v>2</v>
      </c>
      <c r="E54" s="52">
        <v>3</v>
      </c>
      <c r="F54" s="52">
        <v>4</v>
      </c>
      <c r="G54" s="52">
        <v>5</v>
      </c>
      <c r="H54" s="52">
        <v>6</v>
      </c>
      <c r="I54" s="52">
        <v>7</v>
      </c>
      <c r="J54" s="52">
        <v>8</v>
      </c>
      <c r="K54" s="52">
        <v>9</v>
      </c>
      <c r="L54" s="53">
        <v>10</v>
      </c>
      <c r="M54" s="54" t="s">
        <v>89</v>
      </c>
      <c r="N54" s="11" t="s">
        <v>105</v>
      </c>
      <c r="O54" s="59" t="s">
        <v>106</v>
      </c>
      <c r="P54" s="6" t="s">
        <v>0</v>
      </c>
    </row>
    <row r="55" spans="1:16" ht="23.1" customHeight="1" thickBot="1" x14ac:dyDescent="0.3">
      <c r="A55" s="230" t="s">
        <v>128</v>
      </c>
      <c r="B55" s="50" t="s">
        <v>23</v>
      </c>
      <c r="C55" s="24">
        <v>0</v>
      </c>
      <c r="D55" s="24">
        <v>0</v>
      </c>
      <c r="E55" s="24">
        <v>0</v>
      </c>
      <c r="F55" s="24">
        <v>0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78">
        <f>COUNTIF(C55:L55,"&gt;0")</f>
        <v>0</v>
      </c>
      <c r="N55" s="78">
        <f>COUNTIF(C55:L55,"&gt;20")</f>
        <v>0</v>
      </c>
      <c r="O55" s="7">
        <f>MAX(C55:L55)</f>
        <v>0</v>
      </c>
      <c r="P55" s="31">
        <f>SUM(C55:L55)</f>
        <v>0</v>
      </c>
    </row>
    <row r="56" spans="1:16" ht="23.1" customHeight="1" thickBot="1" x14ac:dyDescent="0.3">
      <c r="A56" s="230"/>
      <c r="B56" s="50" t="s">
        <v>25</v>
      </c>
      <c r="C56" s="24">
        <v>0</v>
      </c>
      <c r="D56" s="24">
        <v>22.1</v>
      </c>
      <c r="E56" s="24">
        <v>32.299999999999997</v>
      </c>
      <c r="F56" s="24">
        <v>0</v>
      </c>
      <c r="G56" s="24">
        <v>0</v>
      </c>
      <c r="H56" s="24">
        <v>14.8</v>
      </c>
      <c r="I56" s="24">
        <v>0</v>
      </c>
      <c r="J56" s="24">
        <v>0</v>
      </c>
      <c r="K56" s="24">
        <v>49.8</v>
      </c>
      <c r="L56" s="24">
        <v>0</v>
      </c>
      <c r="M56" s="78">
        <f t="shared" ref="M56:M76" si="8">COUNTIF(C56:L56,"&gt;0")</f>
        <v>4</v>
      </c>
      <c r="N56" s="78">
        <f t="shared" ref="N56:N76" si="9">COUNTIF(C56:L56,"&gt;20")</f>
        <v>3</v>
      </c>
      <c r="O56" s="7">
        <f t="shared" ref="O56:O76" si="10">MAX(C56:L56)</f>
        <v>49.8</v>
      </c>
      <c r="P56" s="31">
        <f t="shared" ref="P56:P76" si="11">SUM(C56:L56)</f>
        <v>119</v>
      </c>
    </row>
    <row r="57" spans="1:16" ht="23.1" customHeight="1" thickBot="1" x14ac:dyDescent="0.3">
      <c r="A57" s="230"/>
      <c r="B57" s="50" t="s">
        <v>124</v>
      </c>
      <c r="C57" s="24">
        <v>0</v>
      </c>
      <c r="D57" s="25">
        <v>4.0999999999999996</v>
      </c>
      <c r="E57" s="25">
        <v>0</v>
      </c>
      <c r="F57" s="25">
        <v>0</v>
      </c>
      <c r="G57" s="25">
        <v>0</v>
      </c>
      <c r="H57" s="25">
        <v>0</v>
      </c>
      <c r="I57" s="25">
        <v>0</v>
      </c>
      <c r="J57" s="25">
        <v>39</v>
      </c>
      <c r="K57" s="25">
        <v>0</v>
      </c>
      <c r="L57" s="24">
        <v>0</v>
      </c>
      <c r="M57" s="78">
        <f t="shared" si="8"/>
        <v>2</v>
      </c>
      <c r="N57" s="78">
        <f t="shared" si="9"/>
        <v>1</v>
      </c>
      <c r="O57" s="7">
        <f t="shared" si="10"/>
        <v>39</v>
      </c>
      <c r="P57" s="31">
        <f t="shared" si="11"/>
        <v>43.1</v>
      </c>
    </row>
    <row r="58" spans="1:16" ht="23.1" customHeight="1" thickBot="1" x14ac:dyDescent="0.3">
      <c r="A58" s="230"/>
      <c r="B58" s="50" t="s">
        <v>125</v>
      </c>
      <c r="C58" s="24">
        <v>12.4</v>
      </c>
      <c r="D58" s="25">
        <v>17.899999999999999</v>
      </c>
      <c r="E58" s="25">
        <v>10.5</v>
      </c>
      <c r="F58" s="25">
        <v>0</v>
      </c>
      <c r="G58" s="25">
        <v>7.7</v>
      </c>
      <c r="H58" s="25">
        <v>0</v>
      </c>
      <c r="I58" s="25">
        <v>0</v>
      </c>
      <c r="J58" s="25">
        <v>28.7</v>
      </c>
      <c r="K58" s="25">
        <v>0</v>
      </c>
      <c r="L58" s="24">
        <v>0</v>
      </c>
      <c r="M58" s="78">
        <f t="shared" si="8"/>
        <v>5</v>
      </c>
      <c r="N58" s="78">
        <f t="shared" si="9"/>
        <v>1</v>
      </c>
      <c r="O58" s="7">
        <f t="shared" si="10"/>
        <v>28.7</v>
      </c>
      <c r="P58" s="31">
        <f t="shared" si="11"/>
        <v>77.2</v>
      </c>
    </row>
    <row r="59" spans="1:16" ht="23.1" customHeight="1" thickBot="1" x14ac:dyDescent="0.3">
      <c r="A59" s="230"/>
      <c r="B59" s="50" t="s">
        <v>35</v>
      </c>
      <c r="C59" s="24">
        <v>0</v>
      </c>
      <c r="D59" s="24">
        <v>0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62.3</v>
      </c>
      <c r="K59" s="24">
        <v>0</v>
      </c>
      <c r="L59" s="24">
        <v>0</v>
      </c>
      <c r="M59" s="78">
        <f t="shared" si="8"/>
        <v>1</v>
      </c>
      <c r="N59" s="78">
        <f t="shared" si="9"/>
        <v>1</v>
      </c>
      <c r="O59" s="7">
        <f t="shared" si="10"/>
        <v>62.3</v>
      </c>
      <c r="P59" s="31">
        <f t="shared" si="11"/>
        <v>62.3</v>
      </c>
    </row>
    <row r="60" spans="1:16" ht="23.1" customHeight="1" thickBot="1" x14ac:dyDescent="0.3">
      <c r="A60" s="230"/>
      <c r="B60" s="99" t="s">
        <v>32</v>
      </c>
      <c r="C60" s="218">
        <v>21.8</v>
      </c>
      <c r="D60" s="218">
        <v>17.5</v>
      </c>
      <c r="E60" s="218">
        <v>0</v>
      </c>
      <c r="F60" s="218">
        <v>0</v>
      </c>
      <c r="G60" s="218">
        <v>7</v>
      </c>
      <c r="H60" s="218">
        <v>0</v>
      </c>
      <c r="I60" s="218">
        <v>0</v>
      </c>
      <c r="J60" s="218">
        <v>43.8</v>
      </c>
      <c r="K60" s="218">
        <v>0</v>
      </c>
      <c r="L60" s="218">
        <v>0</v>
      </c>
      <c r="M60" s="78">
        <f t="shared" si="8"/>
        <v>4</v>
      </c>
      <c r="N60" s="78">
        <f t="shared" si="9"/>
        <v>2</v>
      </c>
      <c r="O60" s="7">
        <f t="shared" si="10"/>
        <v>43.8</v>
      </c>
      <c r="P60" s="31">
        <f t="shared" si="11"/>
        <v>90.1</v>
      </c>
    </row>
    <row r="61" spans="1:16" ht="23.1" customHeight="1" thickBot="1" x14ac:dyDescent="0.3">
      <c r="A61" s="230"/>
      <c r="B61" s="81" t="s">
        <v>27</v>
      </c>
      <c r="C61" s="24">
        <v>0</v>
      </c>
      <c r="D61" s="24">
        <v>0</v>
      </c>
      <c r="E61" s="24">
        <v>0</v>
      </c>
      <c r="F61" s="24">
        <v>0</v>
      </c>
      <c r="G61" s="24">
        <v>0</v>
      </c>
      <c r="H61" s="24">
        <v>0</v>
      </c>
      <c r="I61" s="24">
        <v>0</v>
      </c>
      <c r="J61" s="24">
        <v>0</v>
      </c>
      <c r="K61" s="24">
        <v>48.11</v>
      </c>
      <c r="L61" s="24">
        <v>0</v>
      </c>
      <c r="M61" s="78">
        <f t="shared" si="8"/>
        <v>1</v>
      </c>
      <c r="N61" s="78">
        <f t="shared" si="9"/>
        <v>1</v>
      </c>
      <c r="O61" s="7">
        <f t="shared" si="10"/>
        <v>48.11</v>
      </c>
      <c r="P61" s="31">
        <f t="shared" si="11"/>
        <v>48.11</v>
      </c>
    </row>
    <row r="62" spans="1:16" ht="23.1" customHeight="1" thickBot="1" x14ac:dyDescent="0.3">
      <c r="A62" s="230"/>
      <c r="B62" s="95" t="s">
        <v>28</v>
      </c>
      <c r="C62" s="24">
        <v>0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78">
        <f t="shared" si="8"/>
        <v>0</v>
      </c>
      <c r="N62" s="78">
        <f t="shared" si="9"/>
        <v>0</v>
      </c>
      <c r="O62" s="7">
        <f t="shared" si="10"/>
        <v>0</v>
      </c>
      <c r="P62" s="31">
        <f t="shared" si="11"/>
        <v>0</v>
      </c>
    </row>
    <row r="63" spans="1:16" ht="23.1" customHeight="1" thickBot="1" x14ac:dyDescent="0.3">
      <c r="A63" s="230"/>
      <c r="B63" s="106" t="s">
        <v>34</v>
      </c>
      <c r="C63" s="24">
        <v>58.3</v>
      </c>
      <c r="D63" s="24">
        <v>0</v>
      </c>
      <c r="E63" s="24">
        <v>0</v>
      </c>
      <c r="F63" s="24">
        <v>0</v>
      </c>
      <c r="G63" s="24">
        <v>16.100000000000001</v>
      </c>
      <c r="H63" s="24">
        <v>0</v>
      </c>
      <c r="I63" s="24">
        <v>40</v>
      </c>
      <c r="J63" s="24">
        <v>4.8</v>
      </c>
      <c r="K63" s="24">
        <v>0</v>
      </c>
      <c r="L63" s="24">
        <v>0</v>
      </c>
      <c r="M63" s="78">
        <f t="shared" si="8"/>
        <v>4</v>
      </c>
      <c r="N63" s="78">
        <f t="shared" si="9"/>
        <v>2</v>
      </c>
      <c r="O63" s="7">
        <f t="shared" si="10"/>
        <v>58.3</v>
      </c>
      <c r="P63" s="31">
        <f t="shared" si="11"/>
        <v>119.2</v>
      </c>
    </row>
    <row r="64" spans="1:16" ht="23.1" customHeight="1" thickBot="1" x14ac:dyDescent="0.3">
      <c r="A64" s="230"/>
      <c r="B64" s="100" t="s">
        <v>83</v>
      </c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78">
        <f t="shared" si="8"/>
        <v>0</v>
      </c>
      <c r="N64" s="78">
        <f t="shared" si="9"/>
        <v>0</v>
      </c>
      <c r="O64" s="7">
        <f t="shared" si="10"/>
        <v>0</v>
      </c>
      <c r="P64" s="31">
        <f t="shared" si="11"/>
        <v>0</v>
      </c>
    </row>
    <row r="65" spans="1:16" ht="23.1" customHeight="1" thickBot="1" x14ac:dyDescent="0.3">
      <c r="A65" s="230"/>
      <c r="B65" s="50" t="s">
        <v>26</v>
      </c>
      <c r="C65" s="24">
        <v>23.5</v>
      </c>
      <c r="D65" s="24">
        <v>0</v>
      </c>
      <c r="E65" s="24">
        <v>0</v>
      </c>
      <c r="F65" s="24">
        <v>0</v>
      </c>
      <c r="G65" s="24">
        <v>6.3</v>
      </c>
      <c r="H65" s="24">
        <v>0</v>
      </c>
      <c r="I65" s="24">
        <v>0</v>
      </c>
      <c r="J65" s="24">
        <v>15</v>
      </c>
      <c r="K65" s="24">
        <v>0</v>
      </c>
      <c r="L65" s="24">
        <v>0</v>
      </c>
      <c r="M65" s="78">
        <f t="shared" si="8"/>
        <v>3</v>
      </c>
      <c r="N65" s="78">
        <f t="shared" si="9"/>
        <v>1</v>
      </c>
      <c r="O65" s="7">
        <f t="shared" si="10"/>
        <v>23.5</v>
      </c>
      <c r="P65" s="31">
        <f t="shared" si="11"/>
        <v>44.8</v>
      </c>
    </row>
    <row r="66" spans="1:16" ht="23.1" customHeight="1" thickBot="1" x14ac:dyDescent="0.3">
      <c r="A66" s="230"/>
      <c r="B66" s="50" t="s">
        <v>36</v>
      </c>
      <c r="C66" s="24">
        <v>11.6</v>
      </c>
      <c r="D66" s="24">
        <v>0</v>
      </c>
      <c r="E66" s="24">
        <v>0</v>
      </c>
      <c r="F66" s="24">
        <v>15.3</v>
      </c>
      <c r="G66" s="24">
        <v>0</v>
      </c>
      <c r="H66" s="24">
        <v>2.2999999999999998</v>
      </c>
      <c r="I66" s="24">
        <v>0</v>
      </c>
      <c r="J66" s="24">
        <v>0</v>
      </c>
      <c r="K66" s="24">
        <v>0</v>
      </c>
      <c r="L66" s="24">
        <v>0</v>
      </c>
      <c r="M66" s="78">
        <f t="shared" si="8"/>
        <v>3</v>
      </c>
      <c r="N66" s="78">
        <f t="shared" si="9"/>
        <v>0</v>
      </c>
      <c r="O66" s="7">
        <f t="shared" si="10"/>
        <v>15.3</v>
      </c>
      <c r="P66" s="31">
        <f t="shared" si="11"/>
        <v>29.2</v>
      </c>
    </row>
    <row r="67" spans="1:16" ht="23.1" customHeight="1" thickBot="1" x14ac:dyDescent="0.3">
      <c r="A67" s="230"/>
      <c r="B67" s="100" t="s">
        <v>30</v>
      </c>
      <c r="C67" s="24">
        <v>1.3</v>
      </c>
      <c r="D67" s="24">
        <v>3.3</v>
      </c>
      <c r="E67" s="24">
        <v>0</v>
      </c>
      <c r="F67" s="24">
        <v>0</v>
      </c>
      <c r="G67" s="24">
        <v>13.6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78">
        <f t="shared" si="8"/>
        <v>3</v>
      </c>
      <c r="N67" s="78">
        <f t="shared" si="9"/>
        <v>0</v>
      </c>
      <c r="O67" s="7">
        <f t="shared" si="10"/>
        <v>13.6</v>
      </c>
      <c r="P67" s="31">
        <f t="shared" si="11"/>
        <v>18.2</v>
      </c>
    </row>
    <row r="68" spans="1:16" ht="23.1" customHeight="1" thickBot="1" x14ac:dyDescent="0.3">
      <c r="A68" s="230"/>
      <c r="B68" s="99" t="s">
        <v>31</v>
      </c>
      <c r="C68" s="24">
        <v>5.3</v>
      </c>
      <c r="D68" s="24">
        <v>5</v>
      </c>
      <c r="E68" s="24">
        <v>0</v>
      </c>
      <c r="F68" s="24">
        <v>0</v>
      </c>
      <c r="G68" s="24">
        <v>2.4</v>
      </c>
      <c r="H68" s="24">
        <v>0</v>
      </c>
      <c r="I68" s="24">
        <v>16.399999999999999</v>
      </c>
      <c r="J68" s="24">
        <v>18</v>
      </c>
      <c r="K68" s="24">
        <v>0</v>
      </c>
      <c r="L68" s="24">
        <v>0</v>
      </c>
      <c r="M68" s="78">
        <f t="shared" si="8"/>
        <v>5</v>
      </c>
      <c r="N68" s="78">
        <f t="shared" si="9"/>
        <v>0</v>
      </c>
      <c r="O68" s="7">
        <f t="shared" si="10"/>
        <v>18</v>
      </c>
      <c r="P68" s="31">
        <f t="shared" si="11"/>
        <v>47.1</v>
      </c>
    </row>
    <row r="69" spans="1:16" ht="23.1" customHeight="1" thickBot="1" x14ac:dyDescent="0.3">
      <c r="A69" s="230"/>
      <c r="B69" s="50" t="s">
        <v>29</v>
      </c>
      <c r="C69" s="24">
        <v>16.2</v>
      </c>
      <c r="D69" s="24">
        <v>0</v>
      </c>
      <c r="E69" s="24">
        <v>8</v>
      </c>
      <c r="F69" s="24">
        <v>0</v>
      </c>
      <c r="G69" s="24">
        <v>6.1</v>
      </c>
      <c r="H69" s="24">
        <v>0</v>
      </c>
      <c r="I69" s="24">
        <v>15.8</v>
      </c>
      <c r="J69" s="24">
        <v>0</v>
      </c>
      <c r="K69" s="24">
        <v>0</v>
      </c>
      <c r="L69" s="24">
        <v>0</v>
      </c>
      <c r="M69" s="78">
        <f t="shared" si="8"/>
        <v>4</v>
      </c>
      <c r="N69" s="78">
        <f t="shared" si="9"/>
        <v>0</v>
      </c>
      <c r="O69" s="7">
        <f t="shared" si="10"/>
        <v>16.2</v>
      </c>
      <c r="P69" s="31">
        <f t="shared" si="11"/>
        <v>46.099999999999994</v>
      </c>
    </row>
    <row r="70" spans="1:16" ht="23.1" customHeight="1" thickBot="1" x14ac:dyDescent="0.3">
      <c r="A70" s="230"/>
      <c r="B70" s="50" t="s">
        <v>24</v>
      </c>
      <c r="C70" s="24">
        <v>0</v>
      </c>
      <c r="D70" s="24">
        <v>38.4</v>
      </c>
      <c r="E70" s="24">
        <v>0</v>
      </c>
      <c r="F70" s="24">
        <v>8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78">
        <f t="shared" si="8"/>
        <v>2</v>
      </c>
      <c r="N70" s="78">
        <f t="shared" si="9"/>
        <v>1</v>
      </c>
      <c r="O70" s="7">
        <f t="shared" si="10"/>
        <v>38.4</v>
      </c>
      <c r="P70" s="31">
        <f t="shared" si="11"/>
        <v>46.4</v>
      </c>
    </row>
    <row r="71" spans="1:16" ht="23.1" customHeight="1" thickBot="1" x14ac:dyDescent="0.3">
      <c r="A71" s="230"/>
      <c r="B71" s="50" t="s">
        <v>33</v>
      </c>
      <c r="C71" s="218">
        <v>34.299999999999997</v>
      </c>
      <c r="D71" s="218">
        <v>0.5</v>
      </c>
      <c r="E71" s="218">
        <v>0</v>
      </c>
      <c r="F71" s="218">
        <v>0.9</v>
      </c>
      <c r="G71" s="218">
        <v>3.1</v>
      </c>
      <c r="H71" s="218">
        <v>0</v>
      </c>
      <c r="I71" s="218">
        <v>0</v>
      </c>
      <c r="J71" s="221">
        <v>0</v>
      </c>
      <c r="K71" s="218">
        <v>0.5</v>
      </c>
      <c r="L71" s="218"/>
      <c r="M71" s="78">
        <f t="shared" si="8"/>
        <v>5</v>
      </c>
      <c r="N71" s="78">
        <f t="shared" si="9"/>
        <v>1</v>
      </c>
      <c r="O71" s="7">
        <f t="shared" si="10"/>
        <v>34.299999999999997</v>
      </c>
      <c r="P71" s="31">
        <f t="shared" si="11"/>
        <v>39.299999999999997</v>
      </c>
    </row>
    <row r="72" spans="1:16" ht="23.1" customHeight="1" thickBot="1" x14ac:dyDescent="0.3">
      <c r="A72" s="230"/>
      <c r="B72" s="96" t="s">
        <v>37</v>
      </c>
      <c r="C72" s="24">
        <v>0</v>
      </c>
      <c r="D72" s="25">
        <v>44.1</v>
      </c>
      <c r="E72" s="25">
        <v>0</v>
      </c>
      <c r="F72" s="25">
        <v>0</v>
      </c>
      <c r="G72" s="25">
        <v>6.3</v>
      </c>
      <c r="H72" s="25">
        <v>0</v>
      </c>
      <c r="I72" s="25">
        <v>0</v>
      </c>
      <c r="J72" s="218">
        <v>0</v>
      </c>
      <c r="K72" s="25">
        <v>0</v>
      </c>
      <c r="L72" s="24">
        <v>0</v>
      </c>
      <c r="M72" s="78">
        <f t="shared" si="8"/>
        <v>2</v>
      </c>
      <c r="N72" s="78">
        <f t="shared" si="9"/>
        <v>1</v>
      </c>
      <c r="O72" s="7">
        <f t="shared" si="10"/>
        <v>44.1</v>
      </c>
      <c r="P72" s="31">
        <f t="shared" si="11"/>
        <v>50.4</v>
      </c>
    </row>
    <row r="73" spans="1:16" ht="23.1" customHeight="1" thickBot="1" x14ac:dyDescent="0.3">
      <c r="A73" s="230"/>
      <c r="B73" s="96" t="s">
        <v>148</v>
      </c>
      <c r="C73" s="24">
        <v>0</v>
      </c>
      <c r="D73" s="24">
        <v>1.7</v>
      </c>
      <c r="E73" s="24">
        <v>6.1</v>
      </c>
      <c r="F73" s="24">
        <v>10.3</v>
      </c>
      <c r="G73" s="24">
        <v>9.8000000000000007</v>
      </c>
      <c r="H73" s="24">
        <v>0</v>
      </c>
      <c r="I73" s="24">
        <v>0</v>
      </c>
      <c r="J73" s="24">
        <v>3</v>
      </c>
      <c r="K73" s="24">
        <v>0</v>
      </c>
      <c r="L73" s="24">
        <v>0</v>
      </c>
      <c r="M73" s="78">
        <f t="shared" si="8"/>
        <v>5</v>
      </c>
      <c r="N73" s="78">
        <f t="shared" si="9"/>
        <v>0</v>
      </c>
      <c r="O73" s="7">
        <f t="shared" si="10"/>
        <v>10.3</v>
      </c>
      <c r="P73" s="31">
        <f t="shared" si="11"/>
        <v>30.900000000000002</v>
      </c>
    </row>
    <row r="74" spans="1:16" ht="23.1" customHeight="1" thickBot="1" x14ac:dyDescent="0.3">
      <c r="A74" s="230"/>
      <c r="B74" s="96" t="s">
        <v>149</v>
      </c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78">
        <f t="shared" si="8"/>
        <v>0</v>
      </c>
      <c r="N74" s="78">
        <f t="shared" si="9"/>
        <v>0</v>
      </c>
      <c r="O74" s="7">
        <f t="shared" si="10"/>
        <v>0</v>
      </c>
      <c r="P74" s="31">
        <f t="shared" si="11"/>
        <v>0</v>
      </c>
    </row>
    <row r="75" spans="1:16" ht="23.1" customHeight="1" thickBot="1" x14ac:dyDescent="0.3">
      <c r="A75" s="230"/>
      <c r="B75" s="96" t="s">
        <v>150</v>
      </c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78">
        <f t="shared" si="8"/>
        <v>0</v>
      </c>
      <c r="N75" s="78">
        <f t="shared" si="9"/>
        <v>0</v>
      </c>
      <c r="O75" s="7">
        <f t="shared" si="10"/>
        <v>0</v>
      </c>
      <c r="P75" s="31">
        <f t="shared" si="11"/>
        <v>0</v>
      </c>
    </row>
    <row r="76" spans="1:16" ht="23.1" customHeight="1" thickBot="1" x14ac:dyDescent="0.3">
      <c r="A76" s="230"/>
      <c r="B76" s="96" t="s">
        <v>151</v>
      </c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78">
        <f t="shared" si="8"/>
        <v>0</v>
      </c>
      <c r="N76" s="78">
        <f t="shared" si="9"/>
        <v>0</v>
      </c>
      <c r="O76" s="7">
        <f t="shared" si="10"/>
        <v>0</v>
      </c>
      <c r="P76" s="31">
        <f t="shared" si="11"/>
        <v>0</v>
      </c>
    </row>
    <row r="77" spans="1:16" ht="20.100000000000001" customHeight="1" x14ac:dyDescent="0.25">
      <c r="B77" s="243"/>
      <c r="C77" s="243"/>
      <c r="D77" s="243"/>
      <c r="E77" s="243"/>
      <c r="F77" s="243"/>
      <c r="G77" s="243"/>
      <c r="H77" s="243"/>
      <c r="I77" s="243"/>
      <c r="J77" s="243"/>
      <c r="K77" s="243"/>
      <c r="L77" s="243"/>
      <c r="M77" s="243"/>
      <c r="N77" s="243"/>
      <c r="O77" s="243"/>
      <c r="P77" s="243"/>
    </row>
    <row r="78" spans="1:16" ht="20.100000000000001" customHeight="1" x14ac:dyDescent="0.25"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32"/>
      <c r="P78" s="56"/>
    </row>
    <row r="79" spans="1:16" ht="24" customHeight="1" x14ac:dyDescent="0.25"/>
    <row r="80" spans="1:16" ht="18" customHeight="1" x14ac:dyDescent="0.25"/>
    <row r="81" spans="1:16" s="76" customFormat="1" ht="20.25" customHeight="1" thickBot="1" x14ac:dyDescent="0.3">
      <c r="A81" s="156"/>
      <c r="B81" s="97"/>
      <c r="O81" s="77"/>
    </row>
    <row r="82" spans="1:16" ht="20.100000000000001" customHeight="1" x14ac:dyDescent="0.25">
      <c r="A82" s="224" t="s">
        <v>1</v>
      </c>
      <c r="B82" s="240" t="s">
        <v>2</v>
      </c>
      <c r="C82" s="233" t="str">
        <f>C4</f>
        <v>HAUTEURS JOURNALIERES DE PLUIE :                                                                                                       1ère DECADE DE AOUT 2025</v>
      </c>
      <c r="D82" s="234"/>
      <c r="E82" s="234"/>
      <c r="F82" s="234"/>
      <c r="G82" s="234"/>
      <c r="H82" s="234"/>
      <c r="I82" s="234"/>
      <c r="J82" s="234"/>
      <c r="K82" s="234"/>
      <c r="L82" s="234"/>
      <c r="M82" s="234"/>
      <c r="N82" s="234"/>
      <c r="O82" s="234"/>
      <c r="P82" s="235"/>
    </row>
    <row r="83" spans="1:16" ht="20.100000000000001" customHeight="1" thickBot="1" x14ac:dyDescent="0.3">
      <c r="A83" s="225"/>
      <c r="B83" s="241"/>
      <c r="C83" s="236"/>
      <c r="D83" s="237"/>
      <c r="E83" s="237"/>
      <c r="F83" s="237"/>
      <c r="G83" s="237"/>
      <c r="H83" s="237"/>
      <c r="I83" s="237"/>
      <c r="J83" s="237"/>
      <c r="K83" s="237"/>
      <c r="L83" s="237"/>
      <c r="M83" s="237"/>
      <c r="N83" s="237"/>
      <c r="O83" s="237"/>
      <c r="P83" s="238"/>
    </row>
    <row r="84" spans="1:16" ht="24" customHeight="1" thickBot="1" x14ac:dyDescent="0.3">
      <c r="A84" s="226"/>
      <c r="B84" s="241"/>
      <c r="C84" s="90">
        <v>1</v>
      </c>
      <c r="D84" s="20">
        <v>2</v>
      </c>
      <c r="E84" s="20">
        <v>3</v>
      </c>
      <c r="F84" s="20">
        <v>4</v>
      </c>
      <c r="G84" s="20">
        <v>5</v>
      </c>
      <c r="H84" s="20">
        <v>6</v>
      </c>
      <c r="I84" s="20">
        <v>7</v>
      </c>
      <c r="J84" s="20">
        <v>8</v>
      </c>
      <c r="K84" s="20">
        <v>9</v>
      </c>
      <c r="L84" s="21">
        <v>10</v>
      </c>
      <c r="M84" s="60" t="s">
        <v>89</v>
      </c>
      <c r="N84" s="83" t="s">
        <v>105</v>
      </c>
      <c r="O84" s="202" t="s">
        <v>106</v>
      </c>
      <c r="P84" s="84" t="s">
        <v>0</v>
      </c>
    </row>
    <row r="85" spans="1:16" ht="24.95" customHeight="1" thickBot="1" x14ac:dyDescent="0.3">
      <c r="A85" s="222" t="s">
        <v>129</v>
      </c>
      <c r="B85" s="133" t="s">
        <v>38</v>
      </c>
      <c r="C85" s="203">
        <v>0</v>
      </c>
      <c r="D85" s="203">
        <v>0</v>
      </c>
      <c r="E85" s="203">
        <v>0</v>
      </c>
      <c r="F85" s="203">
        <v>0</v>
      </c>
      <c r="G85" s="203">
        <v>0</v>
      </c>
      <c r="H85" s="203">
        <v>0</v>
      </c>
      <c r="I85" s="203">
        <v>0</v>
      </c>
      <c r="J85" s="203">
        <v>0</v>
      </c>
      <c r="K85" s="203">
        <v>0</v>
      </c>
      <c r="L85" s="203">
        <v>0</v>
      </c>
      <c r="M85" s="5">
        <f>COUNTIF(C85:L85,"&gt;0")</f>
        <v>0</v>
      </c>
      <c r="N85" s="5">
        <f>COUNTIF(C85:L85,"&gt;20")</f>
        <v>0</v>
      </c>
      <c r="O85" s="7">
        <f>MAX(C85:L85)</f>
        <v>0</v>
      </c>
      <c r="P85" s="7">
        <f>SUM(C85:L85)</f>
        <v>0</v>
      </c>
    </row>
    <row r="86" spans="1:16" ht="24.95" customHeight="1" thickBot="1" x14ac:dyDescent="0.3">
      <c r="A86" s="223"/>
      <c r="B86" s="133" t="s">
        <v>120</v>
      </c>
      <c r="C86" s="203">
        <v>0</v>
      </c>
      <c r="D86" s="203">
        <v>0</v>
      </c>
      <c r="E86" s="203">
        <v>0</v>
      </c>
      <c r="F86" s="203">
        <v>0</v>
      </c>
      <c r="G86" s="203">
        <v>0</v>
      </c>
      <c r="H86" s="203">
        <v>0</v>
      </c>
      <c r="I86" s="203">
        <v>0</v>
      </c>
      <c r="J86" s="203">
        <v>0</v>
      </c>
      <c r="K86" s="203">
        <v>0.2</v>
      </c>
      <c r="L86" s="203">
        <v>0</v>
      </c>
      <c r="M86" s="5">
        <f t="shared" ref="M86:M101" si="12">COUNTIF(C86:L86,"&gt;0")</f>
        <v>1</v>
      </c>
      <c r="N86" s="5">
        <f t="shared" ref="N86:N101" si="13">COUNTIF(C86:L86,"&gt;20")</f>
        <v>0</v>
      </c>
      <c r="O86" s="7">
        <f t="shared" ref="O86:O101" si="14">MAX(C86:L86)</f>
        <v>0.2</v>
      </c>
      <c r="P86" s="7">
        <f t="shared" ref="P86:P101" si="15">SUM(C86:L86)</f>
        <v>0.2</v>
      </c>
    </row>
    <row r="87" spans="1:16" ht="24.95" customHeight="1" thickBot="1" x14ac:dyDescent="0.3">
      <c r="A87" s="223"/>
      <c r="B87" s="133" t="s">
        <v>121</v>
      </c>
      <c r="C87" s="203">
        <v>0</v>
      </c>
      <c r="D87" s="203">
        <v>0</v>
      </c>
      <c r="E87" s="203">
        <v>0</v>
      </c>
      <c r="F87" s="203">
        <v>0</v>
      </c>
      <c r="G87" s="203">
        <v>0</v>
      </c>
      <c r="H87" s="203">
        <v>0</v>
      </c>
      <c r="I87" s="203">
        <v>0</v>
      </c>
      <c r="J87" s="203">
        <v>0</v>
      </c>
      <c r="K87" s="203">
        <v>0</v>
      </c>
      <c r="L87" s="203">
        <v>0</v>
      </c>
      <c r="M87" s="5">
        <f t="shared" si="12"/>
        <v>0</v>
      </c>
      <c r="N87" s="5">
        <f t="shared" si="13"/>
        <v>0</v>
      </c>
      <c r="O87" s="7">
        <f t="shared" si="14"/>
        <v>0</v>
      </c>
      <c r="P87" s="7">
        <f t="shared" si="15"/>
        <v>0</v>
      </c>
    </row>
    <row r="88" spans="1:16" ht="24.95" customHeight="1" thickBot="1" x14ac:dyDescent="0.3">
      <c r="A88" s="223"/>
      <c r="B88" s="133" t="s">
        <v>40</v>
      </c>
      <c r="C88" s="203">
        <v>0</v>
      </c>
      <c r="D88" s="203">
        <v>0</v>
      </c>
      <c r="E88" s="203">
        <v>0</v>
      </c>
      <c r="F88" s="203">
        <v>0</v>
      </c>
      <c r="G88" s="203">
        <v>0</v>
      </c>
      <c r="H88" s="203">
        <v>0</v>
      </c>
      <c r="I88" s="203">
        <v>0</v>
      </c>
      <c r="J88" s="203">
        <v>0</v>
      </c>
      <c r="K88" s="203">
        <v>0</v>
      </c>
      <c r="L88" s="203">
        <v>0</v>
      </c>
      <c r="M88" s="5">
        <f t="shared" si="12"/>
        <v>0</v>
      </c>
      <c r="N88" s="5">
        <f t="shared" si="13"/>
        <v>0</v>
      </c>
      <c r="O88" s="7">
        <f t="shared" si="14"/>
        <v>0</v>
      </c>
      <c r="P88" s="7">
        <f t="shared" si="15"/>
        <v>0</v>
      </c>
    </row>
    <row r="89" spans="1:16" ht="24.95" customHeight="1" thickBot="1" x14ac:dyDescent="0.3">
      <c r="A89" s="223"/>
      <c r="B89" s="133" t="s">
        <v>152</v>
      </c>
      <c r="C89" s="203"/>
      <c r="D89" s="203"/>
      <c r="E89" s="203"/>
      <c r="F89" s="203"/>
      <c r="G89" s="203"/>
      <c r="H89" s="203"/>
      <c r="I89" s="203"/>
      <c r="J89" s="203"/>
      <c r="K89" s="203"/>
      <c r="L89" s="203"/>
      <c r="M89" s="5">
        <f t="shared" si="12"/>
        <v>0</v>
      </c>
      <c r="N89" s="5">
        <f t="shared" si="13"/>
        <v>0</v>
      </c>
      <c r="O89" s="7">
        <f t="shared" si="14"/>
        <v>0</v>
      </c>
      <c r="P89" s="7">
        <f t="shared" si="15"/>
        <v>0</v>
      </c>
    </row>
    <row r="90" spans="1:16" ht="24.95" customHeight="1" thickBot="1" x14ac:dyDescent="0.3">
      <c r="A90" s="223"/>
      <c r="B90" s="133" t="s">
        <v>153</v>
      </c>
      <c r="C90" s="203"/>
      <c r="D90" s="203"/>
      <c r="E90" s="203"/>
      <c r="F90" s="203"/>
      <c r="G90" s="203"/>
      <c r="H90" s="203"/>
      <c r="I90" s="203"/>
      <c r="J90" s="203"/>
      <c r="K90" s="203"/>
      <c r="L90" s="203"/>
      <c r="M90" s="5">
        <f t="shared" si="12"/>
        <v>0</v>
      </c>
      <c r="N90" s="5">
        <f t="shared" si="13"/>
        <v>0</v>
      </c>
      <c r="O90" s="7">
        <f t="shared" si="14"/>
        <v>0</v>
      </c>
      <c r="P90" s="7">
        <f t="shared" si="15"/>
        <v>0</v>
      </c>
    </row>
    <row r="91" spans="1:16" ht="24.95" customHeight="1" thickBot="1" x14ac:dyDescent="0.3">
      <c r="A91" s="223"/>
      <c r="B91" s="133" t="s">
        <v>39</v>
      </c>
      <c r="C91" s="203">
        <v>0</v>
      </c>
      <c r="D91" s="203">
        <v>0</v>
      </c>
      <c r="E91" s="203">
        <v>0</v>
      </c>
      <c r="F91" s="203">
        <v>0</v>
      </c>
      <c r="G91" s="203">
        <v>0</v>
      </c>
      <c r="H91" s="203">
        <v>0</v>
      </c>
      <c r="I91" s="203">
        <v>0</v>
      </c>
      <c r="J91" s="203">
        <v>0</v>
      </c>
      <c r="K91" s="203">
        <v>0</v>
      </c>
      <c r="L91" s="203">
        <v>0</v>
      </c>
      <c r="M91" s="5">
        <f t="shared" si="12"/>
        <v>0</v>
      </c>
      <c r="N91" s="5">
        <f t="shared" si="13"/>
        <v>0</v>
      </c>
      <c r="O91" s="7">
        <f t="shared" si="14"/>
        <v>0</v>
      </c>
      <c r="P91" s="7">
        <f t="shared" si="15"/>
        <v>0</v>
      </c>
    </row>
    <row r="92" spans="1:16" ht="24.95" customHeight="1" thickBot="1" x14ac:dyDescent="0.3">
      <c r="A92" s="223"/>
      <c r="B92" s="133" t="s">
        <v>42</v>
      </c>
      <c r="C92" s="203">
        <v>0</v>
      </c>
      <c r="D92" s="203">
        <v>0</v>
      </c>
      <c r="E92" s="203">
        <v>0</v>
      </c>
      <c r="F92" s="203">
        <v>0</v>
      </c>
      <c r="G92" s="203">
        <v>0</v>
      </c>
      <c r="H92" s="203">
        <v>0</v>
      </c>
      <c r="I92" s="203">
        <v>0</v>
      </c>
      <c r="J92" s="203">
        <v>0</v>
      </c>
      <c r="K92" s="203">
        <v>0</v>
      </c>
      <c r="L92" s="203">
        <v>0</v>
      </c>
      <c r="M92" s="5">
        <f t="shared" si="12"/>
        <v>0</v>
      </c>
      <c r="N92" s="5">
        <f t="shared" si="13"/>
        <v>0</v>
      </c>
      <c r="O92" s="7">
        <f t="shared" si="14"/>
        <v>0</v>
      </c>
      <c r="P92" s="7">
        <f t="shared" si="15"/>
        <v>0</v>
      </c>
    </row>
    <row r="93" spans="1:16" ht="24.95" customHeight="1" thickBot="1" x14ac:dyDescent="0.3">
      <c r="A93" s="223"/>
      <c r="B93" s="133" t="s">
        <v>43</v>
      </c>
      <c r="C93" s="203">
        <v>0</v>
      </c>
      <c r="D93" s="203">
        <v>0</v>
      </c>
      <c r="E93" s="203">
        <v>0</v>
      </c>
      <c r="F93" s="203">
        <v>0</v>
      </c>
      <c r="G93" s="203">
        <v>0</v>
      </c>
      <c r="H93" s="203">
        <v>0</v>
      </c>
      <c r="I93" s="203">
        <v>0</v>
      </c>
      <c r="J93" s="203">
        <v>0</v>
      </c>
      <c r="K93" s="203">
        <v>0</v>
      </c>
      <c r="L93" s="203">
        <v>0</v>
      </c>
      <c r="M93" s="5">
        <f t="shared" si="12"/>
        <v>0</v>
      </c>
      <c r="N93" s="5">
        <f t="shared" si="13"/>
        <v>0</v>
      </c>
      <c r="O93" s="7">
        <f t="shared" si="14"/>
        <v>0</v>
      </c>
      <c r="P93" s="7">
        <f t="shared" si="15"/>
        <v>0</v>
      </c>
    </row>
    <row r="94" spans="1:16" ht="24.95" customHeight="1" thickBot="1" x14ac:dyDescent="0.3">
      <c r="A94" s="223"/>
      <c r="B94" s="133" t="s">
        <v>45</v>
      </c>
      <c r="C94" s="203">
        <v>0</v>
      </c>
      <c r="D94" s="203">
        <v>0</v>
      </c>
      <c r="E94" s="203">
        <v>0</v>
      </c>
      <c r="F94" s="203">
        <v>0</v>
      </c>
      <c r="G94" s="203">
        <v>0</v>
      </c>
      <c r="H94" s="203">
        <v>0</v>
      </c>
      <c r="I94" s="203">
        <v>0</v>
      </c>
      <c r="J94" s="203">
        <v>0</v>
      </c>
      <c r="K94" s="203">
        <v>0</v>
      </c>
      <c r="L94" s="203">
        <v>0</v>
      </c>
      <c r="M94" s="5">
        <f t="shared" si="12"/>
        <v>0</v>
      </c>
      <c r="N94" s="5">
        <f t="shared" si="13"/>
        <v>0</v>
      </c>
      <c r="O94" s="7">
        <f t="shared" si="14"/>
        <v>0</v>
      </c>
      <c r="P94" s="7">
        <f t="shared" si="15"/>
        <v>0</v>
      </c>
    </row>
    <row r="95" spans="1:16" ht="24.95" customHeight="1" thickBot="1" x14ac:dyDescent="0.3">
      <c r="A95" s="223"/>
      <c r="B95" s="133" t="s">
        <v>44</v>
      </c>
      <c r="C95" s="203">
        <v>2.2999999999999998</v>
      </c>
      <c r="D95" s="203">
        <v>0</v>
      </c>
      <c r="E95" s="203">
        <v>0</v>
      </c>
      <c r="F95" s="203">
        <v>0</v>
      </c>
      <c r="G95" s="203">
        <v>0</v>
      </c>
      <c r="H95" s="203">
        <v>0</v>
      </c>
      <c r="I95" s="203">
        <v>0.4</v>
      </c>
      <c r="J95" s="203">
        <v>0</v>
      </c>
      <c r="K95" s="203">
        <v>0</v>
      </c>
      <c r="L95" s="203">
        <v>0</v>
      </c>
      <c r="M95" s="5">
        <f t="shared" si="12"/>
        <v>2</v>
      </c>
      <c r="N95" s="5">
        <f t="shared" si="13"/>
        <v>0</v>
      </c>
      <c r="O95" s="7">
        <f t="shared" si="14"/>
        <v>2.2999999999999998</v>
      </c>
      <c r="P95" s="7">
        <f t="shared" si="15"/>
        <v>2.6999999999999997</v>
      </c>
    </row>
    <row r="96" spans="1:16" ht="24.95" customHeight="1" thickBot="1" x14ac:dyDescent="0.3">
      <c r="A96" s="223"/>
      <c r="B96" s="133" t="s">
        <v>41</v>
      </c>
      <c r="C96" s="203"/>
      <c r="D96" s="203"/>
      <c r="E96" s="203"/>
      <c r="F96" s="203"/>
      <c r="G96" s="203"/>
      <c r="H96" s="203"/>
      <c r="I96" s="203"/>
      <c r="J96" s="203"/>
      <c r="K96" s="203"/>
      <c r="L96" s="203"/>
      <c r="M96" s="5">
        <f t="shared" si="12"/>
        <v>0</v>
      </c>
      <c r="N96" s="5">
        <f t="shared" si="13"/>
        <v>0</v>
      </c>
      <c r="O96" s="7">
        <f t="shared" si="14"/>
        <v>0</v>
      </c>
      <c r="P96" s="7">
        <f t="shared" si="15"/>
        <v>0</v>
      </c>
    </row>
    <row r="97" spans="1:16" ht="24.95" customHeight="1" thickBot="1" x14ac:dyDescent="0.3">
      <c r="A97" s="223"/>
      <c r="B97" s="133" t="s">
        <v>46</v>
      </c>
      <c r="C97" s="203">
        <v>0</v>
      </c>
      <c r="D97" s="203">
        <v>0.3</v>
      </c>
      <c r="E97" s="203">
        <v>0</v>
      </c>
      <c r="F97" s="203">
        <v>0</v>
      </c>
      <c r="G97" s="203">
        <v>0</v>
      </c>
      <c r="H97" s="203">
        <v>0</v>
      </c>
      <c r="I97" s="203">
        <v>0</v>
      </c>
      <c r="J97" s="203">
        <v>0</v>
      </c>
      <c r="K97" s="203">
        <v>0</v>
      </c>
      <c r="L97" s="203">
        <v>0</v>
      </c>
      <c r="M97" s="5">
        <f t="shared" si="12"/>
        <v>1</v>
      </c>
      <c r="N97" s="5">
        <f t="shared" si="13"/>
        <v>0</v>
      </c>
      <c r="O97" s="7">
        <f t="shared" si="14"/>
        <v>0.3</v>
      </c>
      <c r="P97" s="7">
        <f t="shared" si="15"/>
        <v>0.3</v>
      </c>
    </row>
    <row r="98" spans="1:16" ht="24.95" customHeight="1" thickBot="1" x14ac:dyDescent="0.3">
      <c r="A98" s="223"/>
      <c r="B98" s="133" t="s">
        <v>122</v>
      </c>
      <c r="C98" s="203"/>
      <c r="D98" s="203"/>
      <c r="E98" s="203"/>
      <c r="F98" s="203"/>
      <c r="G98" s="203"/>
      <c r="H98" s="203"/>
      <c r="I98" s="203"/>
      <c r="J98" s="203"/>
      <c r="K98" s="203"/>
      <c r="L98" s="203"/>
      <c r="M98" s="5">
        <f t="shared" si="12"/>
        <v>0</v>
      </c>
      <c r="N98" s="5">
        <f t="shared" si="13"/>
        <v>0</v>
      </c>
      <c r="O98" s="7">
        <f t="shared" si="14"/>
        <v>0</v>
      </c>
      <c r="P98" s="7">
        <f t="shared" si="15"/>
        <v>0</v>
      </c>
    </row>
    <row r="99" spans="1:16" ht="24.95" customHeight="1" thickBot="1" x14ac:dyDescent="0.3">
      <c r="A99" s="223"/>
      <c r="B99" s="133" t="s">
        <v>123</v>
      </c>
      <c r="C99" s="203"/>
      <c r="D99" s="203"/>
      <c r="E99" s="203"/>
      <c r="F99" s="203"/>
      <c r="G99" s="203"/>
      <c r="H99" s="203"/>
      <c r="I99" s="203"/>
      <c r="J99" s="203"/>
      <c r="K99" s="203"/>
      <c r="L99" s="203"/>
      <c r="M99" s="5">
        <f t="shared" si="12"/>
        <v>0</v>
      </c>
      <c r="N99" s="5">
        <f t="shared" si="13"/>
        <v>0</v>
      </c>
      <c r="O99" s="7">
        <f t="shared" si="14"/>
        <v>0</v>
      </c>
      <c r="P99" s="7">
        <f t="shared" si="15"/>
        <v>0</v>
      </c>
    </row>
    <row r="100" spans="1:16" ht="24.95" customHeight="1" thickBot="1" x14ac:dyDescent="0.3">
      <c r="A100" s="223"/>
      <c r="B100" s="133" t="s">
        <v>143</v>
      </c>
      <c r="C100" s="203">
        <v>0</v>
      </c>
      <c r="D100" s="203">
        <v>0</v>
      </c>
      <c r="E100" s="203">
        <v>0</v>
      </c>
      <c r="F100" s="203">
        <v>0</v>
      </c>
      <c r="G100" s="203">
        <v>0</v>
      </c>
      <c r="H100" s="203">
        <v>11</v>
      </c>
      <c r="I100" s="203">
        <v>0</v>
      </c>
      <c r="J100" s="203">
        <v>0</v>
      </c>
      <c r="K100" s="203">
        <v>0</v>
      </c>
      <c r="L100" s="203">
        <v>0</v>
      </c>
      <c r="M100" s="5">
        <v>0</v>
      </c>
      <c r="N100" s="5">
        <f t="shared" si="13"/>
        <v>0</v>
      </c>
      <c r="O100" s="7">
        <f t="shared" si="14"/>
        <v>11</v>
      </c>
      <c r="P100" s="7">
        <f t="shared" si="15"/>
        <v>11</v>
      </c>
    </row>
    <row r="101" spans="1:16" ht="20.100000000000001" customHeight="1" thickBot="1" x14ac:dyDescent="0.3">
      <c r="A101" s="223"/>
      <c r="B101" s="133" t="s">
        <v>145</v>
      </c>
      <c r="C101" s="203">
        <v>0</v>
      </c>
      <c r="D101" s="203">
        <v>0</v>
      </c>
      <c r="E101" s="203">
        <v>0</v>
      </c>
      <c r="F101" s="203">
        <v>0</v>
      </c>
      <c r="G101" s="203">
        <v>0</v>
      </c>
      <c r="H101" s="203">
        <v>0</v>
      </c>
      <c r="I101" s="203">
        <v>0</v>
      </c>
      <c r="J101" s="203">
        <v>0</v>
      </c>
      <c r="K101" s="203">
        <v>0</v>
      </c>
      <c r="L101" s="203">
        <v>0</v>
      </c>
      <c r="M101" s="5">
        <f t="shared" si="12"/>
        <v>0</v>
      </c>
      <c r="N101" s="5">
        <f t="shared" si="13"/>
        <v>0</v>
      </c>
      <c r="O101" s="7">
        <f t="shared" si="14"/>
        <v>0</v>
      </c>
      <c r="P101" s="7">
        <f t="shared" si="15"/>
        <v>0</v>
      </c>
    </row>
    <row r="102" spans="1:16" ht="20.100000000000001" customHeight="1" x14ac:dyDescent="0.25"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32"/>
      <c r="P102" s="56"/>
    </row>
    <row r="103" spans="1:16" ht="20.100000000000001" customHeight="1" x14ac:dyDescent="0.25"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32"/>
      <c r="P103" s="56"/>
    </row>
    <row r="104" spans="1:16" ht="20.100000000000001" customHeight="1" x14ac:dyDescent="0.25"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32"/>
      <c r="P104" s="56"/>
    </row>
    <row r="105" spans="1:16" ht="20.100000000000001" customHeight="1" x14ac:dyDescent="0.25"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32"/>
      <c r="P105" s="56"/>
    </row>
    <row r="106" spans="1:16" ht="20.100000000000001" customHeight="1" x14ac:dyDescent="0.25">
      <c r="B106" s="56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32"/>
      <c r="P106" s="56"/>
    </row>
    <row r="107" spans="1:16" ht="24" customHeight="1" x14ac:dyDescent="0.25"/>
    <row r="108" spans="1:16" ht="18" customHeight="1" x14ac:dyDescent="0.25"/>
    <row r="109" spans="1:16" s="76" customFormat="1" ht="20.25" customHeight="1" thickBot="1" x14ac:dyDescent="0.3">
      <c r="A109" s="156"/>
      <c r="B109" s="97"/>
      <c r="O109" s="77"/>
    </row>
    <row r="110" spans="1:16" ht="20.100000000000001" customHeight="1" x14ac:dyDescent="0.25">
      <c r="A110" s="224" t="s">
        <v>1</v>
      </c>
      <c r="B110" s="240" t="s">
        <v>2</v>
      </c>
      <c r="C110" s="233" t="str">
        <f>C4</f>
        <v>HAUTEURS JOURNALIERES DE PLUIE :                                                                                                       1ère DECADE DE AOUT 2025</v>
      </c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5"/>
    </row>
    <row r="111" spans="1:16" ht="20.100000000000001" customHeight="1" thickBot="1" x14ac:dyDescent="0.3">
      <c r="A111" s="225"/>
      <c r="B111" s="241"/>
      <c r="C111" s="236"/>
      <c r="D111" s="237"/>
      <c r="E111" s="237"/>
      <c r="F111" s="237"/>
      <c r="G111" s="237"/>
      <c r="H111" s="237"/>
      <c r="I111" s="237"/>
      <c r="J111" s="237"/>
      <c r="K111" s="237"/>
      <c r="L111" s="237"/>
      <c r="M111" s="237"/>
      <c r="N111" s="237"/>
      <c r="O111" s="237"/>
      <c r="P111" s="238"/>
    </row>
    <row r="112" spans="1:16" ht="22.5" customHeight="1" thickBot="1" x14ac:dyDescent="0.3">
      <c r="A112" s="225"/>
      <c r="B112" s="242"/>
      <c r="C112" s="51">
        <v>1</v>
      </c>
      <c r="D112" s="52">
        <v>2</v>
      </c>
      <c r="E112" s="52">
        <v>3</v>
      </c>
      <c r="F112" s="52">
        <v>4</v>
      </c>
      <c r="G112" s="52">
        <v>5</v>
      </c>
      <c r="H112" s="52">
        <v>6</v>
      </c>
      <c r="I112" s="52">
        <v>7</v>
      </c>
      <c r="J112" s="52">
        <v>8</v>
      </c>
      <c r="K112" s="52">
        <v>9</v>
      </c>
      <c r="L112" s="53">
        <v>10</v>
      </c>
      <c r="M112" s="54" t="s">
        <v>89</v>
      </c>
      <c r="N112" s="54" t="s">
        <v>105</v>
      </c>
      <c r="O112" s="58" t="s">
        <v>106</v>
      </c>
      <c r="P112" s="55" t="s">
        <v>0</v>
      </c>
    </row>
    <row r="113" spans="1:16" ht="24.95" customHeight="1" thickBot="1" x14ac:dyDescent="0.3">
      <c r="A113" s="230" t="s">
        <v>130</v>
      </c>
      <c r="B113" s="96" t="s">
        <v>47</v>
      </c>
      <c r="C113" s="79">
        <v>0</v>
      </c>
      <c r="D113" s="79">
        <v>0</v>
      </c>
      <c r="E113" s="79">
        <v>0</v>
      </c>
      <c r="F113" s="79">
        <v>0</v>
      </c>
      <c r="G113" s="79">
        <v>0</v>
      </c>
      <c r="H113" s="79">
        <v>0</v>
      </c>
      <c r="I113" s="79">
        <v>0</v>
      </c>
      <c r="J113" s="79">
        <v>0</v>
      </c>
      <c r="K113" s="79">
        <v>0</v>
      </c>
      <c r="L113" s="79">
        <v>0</v>
      </c>
      <c r="M113" s="22">
        <f>COUNTIF(C113:L113,"&gt;0")</f>
        <v>0</v>
      </c>
      <c r="N113" s="22">
        <f>COUNTIF(C113:L113,"&gt;20")</f>
        <v>0</v>
      </c>
      <c r="O113" s="7">
        <f>MAX(C113:L113)</f>
        <v>0</v>
      </c>
      <c r="P113" s="7">
        <f>SUM(C113:L113)</f>
        <v>0</v>
      </c>
    </row>
    <row r="114" spans="1:16" ht="24.95" customHeight="1" thickBot="1" x14ac:dyDescent="0.3">
      <c r="A114" s="230"/>
      <c r="B114" s="101" t="s">
        <v>48</v>
      </c>
      <c r="C114" s="79">
        <v>0</v>
      </c>
      <c r="D114" s="79">
        <v>0</v>
      </c>
      <c r="E114" s="79">
        <v>0</v>
      </c>
      <c r="F114" s="79">
        <v>0</v>
      </c>
      <c r="G114" s="79">
        <v>0</v>
      </c>
      <c r="H114" s="79">
        <v>0</v>
      </c>
      <c r="I114" s="79">
        <v>0</v>
      </c>
      <c r="J114" s="79">
        <v>0</v>
      </c>
      <c r="K114" s="79">
        <v>0</v>
      </c>
      <c r="L114" s="79">
        <v>0</v>
      </c>
      <c r="M114" s="22">
        <f t="shared" ref="M114:M125" si="16">COUNTIF(C114:L114,"&gt;0")</f>
        <v>0</v>
      </c>
      <c r="N114" s="22">
        <f t="shared" ref="N114:N125" si="17">COUNTIF(C114:L114,"&gt;20")</f>
        <v>0</v>
      </c>
      <c r="O114" s="7">
        <f t="shared" ref="O114:O125" si="18">MAX(C114:L114)</f>
        <v>0</v>
      </c>
      <c r="P114" s="7">
        <f t="shared" ref="P114:P125" si="19">SUM(C114:L114)</f>
        <v>0</v>
      </c>
    </row>
    <row r="115" spans="1:16" ht="24.95" customHeight="1" thickBot="1" x14ac:dyDescent="0.3">
      <c r="A115" s="230"/>
      <c r="B115" s="50" t="s">
        <v>49</v>
      </c>
      <c r="C115" s="79">
        <v>0</v>
      </c>
      <c r="D115" s="79">
        <v>0</v>
      </c>
      <c r="E115" s="79">
        <v>0</v>
      </c>
      <c r="F115" s="79">
        <v>0</v>
      </c>
      <c r="G115" s="79">
        <v>0</v>
      </c>
      <c r="H115" s="79">
        <v>0</v>
      </c>
      <c r="I115" s="79">
        <v>0</v>
      </c>
      <c r="J115" s="79">
        <v>0</v>
      </c>
      <c r="K115" s="79">
        <v>0</v>
      </c>
      <c r="L115" s="79">
        <v>0</v>
      </c>
      <c r="M115" s="22">
        <f t="shared" si="16"/>
        <v>0</v>
      </c>
      <c r="N115" s="22">
        <f t="shared" si="17"/>
        <v>0</v>
      </c>
      <c r="O115" s="7">
        <f t="shared" si="18"/>
        <v>0</v>
      </c>
      <c r="P115" s="7">
        <f t="shared" si="19"/>
        <v>0</v>
      </c>
    </row>
    <row r="116" spans="1:16" ht="24.95" customHeight="1" thickBot="1" x14ac:dyDescent="0.3">
      <c r="A116" s="230"/>
      <c r="B116" s="50" t="s">
        <v>50</v>
      </c>
      <c r="C116" s="79">
        <v>0</v>
      </c>
      <c r="D116" s="79">
        <v>0</v>
      </c>
      <c r="E116" s="79">
        <v>0</v>
      </c>
      <c r="F116" s="79">
        <v>0</v>
      </c>
      <c r="G116" s="79">
        <v>0</v>
      </c>
      <c r="H116" s="79">
        <v>0</v>
      </c>
      <c r="I116" s="79">
        <v>0</v>
      </c>
      <c r="J116" s="79">
        <v>0</v>
      </c>
      <c r="K116" s="79">
        <v>0</v>
      </c>
      <c r="L116" s="79">
        <v>0</v>
      </c>
      <c r="M116" s="22">
        <f t="shared" si="16"/>
        <v>0</v>
      </c>
      <c r="N116" s="22">
        <f t="shared" si="17"/>
        <v>0</v>
      </c>
      <c r="O116" s="7">
        <f t="shared" si="18"/>
        <v>0</v>
      </c>
      <c r="P116" s="7">
        <f t="shared" si="19"/>
        <v>0</v>
      </c>
    </row>
    <row r="117" spans="1:16" ht="24.95" customHeight="1" thickBot="1" x14ac:dyDescent="0.3">
      <c r="A117" s="230"/>
      <c r="B117" s="50" t="s">
        <v>53</v>
      </c>
      <c r="C117" s="79"/>
      <c r="D117" s="79"/>
      <c r="E117" s="79"/>
      <c r="F117" s="79"/>
      <c r="G117" s="79"/>
      <c r="H117" s="79"/>
      <c r="I117" s="79"/>
      <c r="J117" s="79"/>
      <c r="K117" s="79"/>
      <c r="L117" s="79"/>
      <c r="M117" s="22">
        <f t="shared" si="16"/>
        <v>0</v>
      </c>
      <c r="N117" s="22">
        <f t="shared" si="17"/>
        <v>0</v>
      </c>
      <c r="O117" s="7">
        <f t="shared" si="18"/>
        <v>0</v>
      </c>
      <c r="P117" s="7">
        <f t="shared" si="19"/>
        <v>0</v>
      </c>
    </row>
    <row r="118" spans="1:16" ht="24.95" customHeight="1" thickBot="1" x14ac:dyDescent="0.3">
      <c r="A118" s="230"/>
      <c r="B118" s="50" t="s">
        <v>51</v>
      </c>
      <c r="C118" s="79">
        <v>0</v>
      </c>
      <c r="D118" s="79">
        <v>0</v>
      </c>
      <c r="E118" s="79">
        <v>0</v>
      </c>
      <c r="F118" s="79">
        <v>0</v>
      </c>
      <c r="G118" s="79">
        <v>0</v>
      </c>
      <c r="H118" s="79">
        <v>1.2</v>
      </c>
      <c r="I118" s="79">
        <v>0</v>
      </c>
      <c r="J118" s="79">
        <v>0</v>
      </c>
      <c r="K118" s="79">
        <v>0</v>
      </c>
      <c r="L118" s="79">
        <v>0</v>
      </c>
      <c r="M118" s="22">
        <f t="shared" si="16"/>
        <v>1</v>
      </c>
      <c r="N118" s="22">
        <f t="shared" si="17"/>
        <v>0</v>
      </c>
      <c r="O118" s="7">
        <f t="shared" si="18"/>
        <v>1.2</v>
      </c>
      <c r="P118" s="7">
        <f t="shared" si="19"/>
        <v>1.2</v>
      </c>
    </row>
    <row r="119" spans="1:16" ht="24.95" customHeight="1" thickBot="1" x14ac:dyDescent="0.3">
      <c r="A119" s="230"/>
      <c r="B119" s="50" t="s">
        <v>57</v>
      </c>
      <c r="C119" s="79">
        <v>0</v>
      </c>
      <c r="D119" s="79">
        <v>0.2</v>
      </c>
      <c r="E119" s="79">
        <v>0</v>
      </c>
      <c r="F119" s="79">
        <v>0</v>
      </c>
      <c r="G119" s="79">
        <v>0</v>
      </c>
      <c r="H119" s="79">
        <v>4.2</v>
      </c>
      <c r="I119" s="79">
        <v>0</v>
      </c>
      <c r="J119" s="79">
        <v>0</v>
      </c>
      <c r="K119" s="79">
        <v>0</v>
      </c>
      <c r="L119" s="79">
        <v>0</v>
      </c>
      <c r="M119" s="22">
        <f t="shared" si="16"/>
        <v>2</v>
      </c>
      <c r="N119" s="22">
        <f t="shared" si="17"/>
        <v>0</v>
      </c>
      <c r="O119" s="7">
        <f t="shared" si="18"/>
        <v>4.2</v>
      </c>
      <c r="P119" s="7">
        <f t="shared" si="19"/>
        <v>4.4000000000000004</v>
      </c>
    </row>
    <row r="120" spans="1:16" ht="24.95" customHeight="1" thickBot="1" x14ac:dyDescent="0.3">
      <c r="A120" s="230"/>
      <c r="B120" s="50" t="s">
        <v>56</v>
      </c>
      <c r="C120" s="79">
        <v>0</v>
      </c>
      <c r="D120" s="79">
        <v>0</v>
      </c>
      <c r="E120" s="79">
        <v>0</v>
      </c>
      <c r="F120" s="79">
        <v>0</v>
      </c>
      <c r="G120" s="79">
        <v>0</v>
      </c>
      <c r="H120" s="79">
        <v>0</v>
      </c>
      <c r="I120" s="79">
        <v>0</v>
      </c>
      <c r="J120" s="79">
        <v>0</v>
      </c>
      <c r="K120" s="79">
        <v>0</v>
      </c>
      <c r="L120" s="79">
        <v>0</v>
      </c>
      <c r="M120" s="22">
        <v>0</v>
      </c>
      <c r="N120" s="22">
        <f t="shared" si="17"/>
        <v>0</v>
      </c>
      <c r="O120" s="7">
        <f t="shared" si="18"/>
        <v>0</v>
      </c>
      <c r="P120" s="7">
        <f t="shared" si="19"/>
        <v>0</v>
      </c>
    </row>
    <row r="121" spans="1:16" ht="24.95" customHeight="1" thickBot="1" x14ac:dyDescent="0.3">
      <c r="A121" s="230"/>
      <c r="B121" s="50" t="s">
        <v>52</v>
      </c>
      <c r="C121" s="79">
        <v>0</v>
      </c>
      <c r="D121" s="79">
        <v>0</v>
      </c>
      <c r="E121" s="79">
        <v>0</v>
      </c>
      <c r="F121" s="79">
        <v>0</v>
      </c>
      <c r="G121" s="79">
        <v>0</v>
      </c>
      <c r="H121" s="79">
        <v>0</v>
      </c>
      <c r="I121" s="79">
        <v>4.0999999999999996</v>
      </c>
      <c r="J121" s="79">
        <v>0</v>
      </c>
      <c r="K121" s="79">
        <v>0</v>
      </c>
      <c r="L121" s="79">
        <v>0</v>
      </c>
      <c r="M121" s="22">
        <f t="shared" si="16"/>
        <v>1</v>
      </c>
      <c r="N121" s="22">
        <f t="shared" si="17"/>
        <v>0</v>
      </c>
      <c r="O121" s="7">
        <f t="shared" si="18"/>
        <v>4.0999999999999996</v>
      </c>
      <c r="P121" s="7">
        <f t="shared" si="19"/>
        <v>4.0999999999999996</v>
      </c>
    </row>
    <row r="122" spans="1:16" ht="24.95" customHeight="1" thickBot="1" x14ac:dyDescent="0.3">
      <c r="A122" s="230"/>
      <c r="B122" s="50" t="s">
        <v>54</v>
      </c>
      <c r="C122" s="79">
        <v>0</v>
      </c>
      <c r="D122" s="79">
        <v>0</v>
      </c>
      <c r="E122" s="79">
        <v>0</v>
      </c>
      <c r="F122" s="79">
        <v>0</v>
      </c>
      <c r="G122" s="79">
        <v>0</v>
      </c>
      <c r="H122" s="79">
        <v>0.2</v>
      </c>
      <c r="I122" s="79">
        <v>0</v>
      </c>
      <c r="J122" s="79">
        <v>0</v>
      </c>
      <c r="K122" s="79">
        <v>0</v>
      </c>
      <c r="L122" s="79">
        <v>0</v>
      </c>
      <c r="M122" s="22">
        <f t="shared" si="16"/>
        <v>1</v>
      </c>
      <c r="N122" s="22">
        <f t="shared" si="17"/>
        <v>0</v>
      </c>
      <c r="O122" s="7">
        <f t="shared" si="18"/>
        <v>0.2</v>
      </c>
      <c r="P122" s="7">
        <f t="shared" si="19"/>
        <v>0.2</v>
      </c>
    </row>
    <row r="123" spans="1:16" ht="24.95" customHeight="1" thickBot="1" x14ac:dyDescent="0.3">
      <c r="A123" s="230"/>
      <c r="B123" s="50" t="s">
        <v>55</v>
      </c>
      <c r="C123" s="79">
        <v>0</v>
      </c>
      <c r="D123" s="79">
        <v>0</v>
      </c>
      <c r="E123" s="79">
        <v>0</v>
      </c>
      <c r="F123" s="79">
        <v>0</v>
      </c>
      <c r="G123" s="79">
        <v>0</v>
      </c>
      <c r="H123" s="79">
        <v>0</v>
      </c>
      <c r="I123" s="79">
        <v>0</v>
      </c>
      <c r="J123" s="79">
        <v>0</v>
      </c>
      <c r="K123" s="79">
        <v>0</v>
      </c>
      <c r="L123" s="79">
        <v>0</v>
      </c>
      <c r="M123" s="22">
        <f t="shared" si="16"/>
        <v>0</v>
      </c>
      <c r="N123" s="22">
        <f t="shared" si="17"/>
        <v>0</v>
      </c>
      <c r="O123" s="7">
        <f t="shared" si="18"/>
        <v>0</v>
      </c>
      <c r="P123" s="7">
        <f t="shared" si="19"/>
        <v>0</v>
      </c>
    </row>
    <row r="124" spans="1:16" ht="24.95" customHeight="1" thickBot="1" x14ac:dyDescent="0.3">
      <c r="A124" s="230"/>
      <c r="B124" s="50" t="s">
        <v>154</v>
      </c>
      <c r="C124" s="79"/>
      <c r="D124" s="79"/>
      <c r="E124" s="79"/>
      <c r="F124" s="79"/>
      <c r="G124" s="79"/>
      <c r="H124" s="79"/>
      <c r="I124" s="79"/>
      <c r="J124" s="79"/>
      <c r="K124" s="79"/>
      <c r="L124" s="79"/>
      <c r="M124" s="22">
        <f t="shared" si="16"/>
        <v>0</v>
      </c>
      <c r="N124" s="22">
        <f t="shared" si="17"/>
        <v>0</v>
      </c>
      <c r="O124" s="7">
        <f t="shared" si="18"/>
        <v>0</v>
      </c>
      <c r="P124" s="7">
        <f t="shared" si="19"/>
        <v>0</v>
      </c>
    </row>
    <row r="125" spans="1:16" ht="24.95" customHeight="1" thickBot="1" x14ac:dyDescent="0.3">
      <c r="A125" s="230"/>
      <c r="B125" s="50" t="s">
        <v>155</v>
      </c>
      <c r="C125" s="79"/>
      <c r="D125" s="79"/>
      <c r="E125" s="79"/>
      <c r="F125" s="79"/>
      <c r="G125" s="79"/>
      <c r="H125" s="79"/>
      <c r="I125" s="79"/>
      <c r="J125" s="79"/>
      <c r="K125" s="79"/>
      <c r="L125" s="79"/>
      <c r="M125" s="22">
        <f t="shared" si="16"/>
        <v>0</v>
      </c>
      <c r="N125" s="22">
        <f t="shared" si="17"/>
        <v>0</v>
      </c>
      <c r="O125" s="7">
        <f t="shared" si="18"/>
        <v>0</v>
      </c>
      <c r="P125" s="7">
        <f t="shared" si="19"/>
        <v>0</v>
      </c>
    </row>
    <row r="127" spans="1:16" ht="20.100000000000001" customHeight="1" x14ac:dyDescent="0.25">
      <c r="B127" s="239"/>
      <c r="C127" s="239"/>
      <c r="D127" s="239"/>
      <c r="E127" s="239"/>
      <c r="F127" s="239"/>
      <c r="G127" s="239"/>
      <c r="H127" s="239"/>
      <c r="I127" s="239"/>
      <c r="J127" s="239"/>
      <c r="K127" s="239"/>
      <c r="L127" s="239"/>
      <c r="M127" s="239"/>
      <c r="N127" s="239"/>
      <c r="O127" s="239"/>
      <c r="P127" s="239"/>
    </row>
    <row r="128" spans="1:16" ht="20.100000000000001" customHeight="1" x14ac:dyDescent="0.25">
      <c r="B128" s="56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32"/>
      <c r="P128" s="56"/>
    </row>
    <row r="129" spans="1:16" ht="20.100000000000001" customHeight="1" x14ac:dyDescent="0.25"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32"/>
      <c r="P129" s="56"/>
    </row>
    <row r="130" spans="1:16" ht="20.100000000000001" customHeight="1" x14ac:dyDescent="0.25">
      <c r="B130" s="56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32"/>
      <c r="P130" s="56"/>
    </row>
    <row r="131" spans="1:16" ht="20.100000000000001" customHeight="1" x14ac:dyDescent="0.25">
      <c r="B131" s="56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32"/>
      <c r="P131" s="56"/>
    </row>
    <row r="132" spans="1:16" ht="20.100000000000001" customHeight="1" x14ac:dyDescent="0.25"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32"/>
      <c r="P132" s="56"/>
    </row>
    <row r="133" spans="1:16" ht="24" customHeight="1" x14ac:dyDescent="0.25"/>
    <row r="134" spans="1:16" ht="18" customHeight="1" x14ac:dyDescent="0.25"/>
    <row r="135" spans="1:16" s="76" customFormat="1" ht="20.25" customHeight="1" thickBot="1" x14ac:dyDescent="0.3">
      <c r="A135" s="156"/>
      <c r="B135" s="97"/>
      <c r="O135" s="77"/>
    </row>
    <row r="136" spans="1:16" ht="20.100000000000001" customHeight="1" x14ac:dyDescent="0.25">
      <c r="A136" s="224" t="s">
        <v>1</v>
      </c>
      <c r="B136" s="231" t="s">
        <v>2</v>
      </c>
      <c r="C136" s="233" t="str">
        <f>C4</f>
        <v>HAUTEURS JOURNALIERES DE PLUIE :                                                                                                       1ère DECADE DE AOUT 2025</v>
      </c>
      <c r="D136" s="234"/>
      <c r="E136" s="234"/>
      <c r="F136" s="234"/>
      <c r="G136" s="234"/>
      <c r="H136" s="234"/>
      <c r="I136" s="234"/>
      <c r="J136" s="234"/>
      <c r="K136" s="234"/>
      <c r="L136" s="234"/>
      <c r="M136" s="234"/>
      <c r="N136" s="234"/>
      <c r="O136" s="234"/>
      <c r="P136" s="235"/>
    </row>
    <row r="137" spans="1:16" ht="20.100000000000001" customHeight="1" thickBot="1" x14ac:dyDescent="0.3">
      <c r="A137" s="225"/>
      <c r="B137" s="232"/>
      <c r="C137" s="236"/>
      <c r="D137" s="237"/>
      <c r="E137" s="237"/>
      <c r="F137" s="237"/>
      <c r="G137" s="237"/>
      <c r="H137" s="237"/>
      <c r="I137" s="237"/>
      <c r="J137" s="237"/>
      <c r="K137" s="237"/>
      <c r="L137" s="237"/>
      <c r="M137" s="237"/>
      <c r="N137" s="237"/>
      <c r="O137" s="237"/>
      <c r="P137" s="238"/>
    </row>
    <row r="138" spans="1:16" ht="22.5" customHeight="1" thickBot="1" x14ac:dyDescent="0.3">
      <c r="A138" s="225"/>
      <c r="B138" s="232"/>
      <c r="C138" s="90">
        <v>1</v>
      </c>
      <c r="D138" s="20">
        <v>2</v>
      </c>
      <c r="E138" s="20">
        <v>3</v>
      </c>
      <c r="F138" s="20">
        <v>4</v>
      </c>
      <c r="G138" s="20">
        <v>5</v>
      </c>
      <c r="H138" s="20">
        <v>6</v>
      </c>
      <c r="I138" s="20">
        <v>7</v>
      </c>
      <c r="J138" s="20">
        <v>8</v>
      </c>
      <c r="K138" s="20">
        <v>9</v>
      </c>
      <c r="L138" s="21">
        <v>10</v>
      </c>
      <c r="M138" s="60" t="s">
        <v>89</v>
      </c>
      <c r="N138" s="83" t="s">
        <v>105</v>
      </c>
      <c r="O138" s="202" t="s">
        <v>106</v>
      </c>
      <c r="P138" s="84" t="s">
        <v>0</v>
      </c>
    </row>
    <row r="139" spans="1:16" ht="22.5" customHeight="1" thickBot="1" x14ac:dyDescent="0.3">
      <c r="A139" s="222" t="s">
        <v>131</v>
      </c>
      <c r="B139" s="204" t="s">
        <v>58</v>
      </c>
      <c r="C139" s="23">
        <v>0</v>
      </c>
      <c r="D139" s="23">
        <v>0</v>
      </c>
      <c r="E139" s="23">
        <v>0</v>
      </c>
      <c r="F139" s="23">
        <v>0</v>
      </c>
      <c r="G139" s="23">
        <v>24.6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05">
        <f>COUNTIF(C139:L139,"&gt;0")</f>
        <v>1</v>
      </c>
      <c r="N139" s="205">
        <f>COUNTIF(C139:L139,"&gt;20")</f>
        <v>1</v>
      </c>
      <c r="O139" s="23">
        <f>MAX(C139:L139)</f>
        <v>24.6</v>
      </c>
      <c r="P139" s="23">
        <f>SUM(C139:L139)</f>
        <v>24.6</v>
      </c>
    </row>
    <row r="140" spans="1:16" ht="22.5" customHeight="1" thickBot="1" x14ac:dyDescent="0.3">
      <c r="A140" s="223"/>
      <c r="B140" s="204" t="s">
        <v>66</v>
      </c>
      <c r="C140" s="23">
        <v>23.2</v>
      </c>
      <c r="D140" s="23">
        <v>4</v>
      </c>
      <c r="E140" s="23">
        <v>0</v>
      </c>
      <c r="F140" s="23">
        <v>0</v>
      </c>
      <c r="G140" s="23">
        <v>2.1</v>
      </c>
      <c r="H140" s="23">
        <v>0</v>
      </c>
      <c r="I140" s="23">
        <v>0</v>
      </c>
      <c r="J140" s="23">
        <v>0</v>
      </c>
      <c r="K140" s="23">
        <v>0</v>
      </c>
      <c r="L140" s="23">
        <v>0</v>
      </c>
      <c r="M140" s="205">
        <f t="shared" ref="M140:M168" si="20">COUNTIF(C140:L140,"&gt;0")</f>
        <v>3</v>
      </c>
      <c r="N140" s="205">
        <f t="shared" ref="N140:N168" si="21">COUNTIF(C140:L140,"&gt;20")</f>
        <v>1</v>
      </c>
      <c r="O140" s="23">
        <f t="shared" ref="O140:O168" si="22">MAX(C140:L140)</f>
        <v>23.2</v>
      </c>
      <c r="P140" s="23">
        <f t="shared" ref="P140:P168" si="23">SUM(C140:L140)</f>
        <v>29.3</v>
      </c>
    </row>
    <row r="141" spans="1:16" ht="22.5" customHeight="1" thickBot="1" x14ac:dyDescent="0.3">
      <c r="A141" s="223"/>
      <c r="B141" s="204" t="s">
        <v>60</v>
      </c>
      <c r="C141" s="23">
        <v>10.4</v>
      </c>
      <c r="D141" s="23">
        <v>0</v>
      </c>
      <c r="E141" s="23">
        <v>0</v>
      </c>
      <c r="F141" s="23">
        <v>20.100000000000001</v>
      </c>
      <c r="G141" s="23">
        <v>0</v>
      </c>
      <c r="H141" s="23">
        <v>7.5</v>
      </c>
      <c r="I141" s="23">
        <v>0</v>
      </c>
      <c r="J141" s="23">
        <v>0</v>
      </c>
      <c r="K141" s="23">
        <v>0</v>
      </c>
      <c r="L141" s="23">
        <v>0</v>
      </c>
      <c r="M141" s="205">
        <f t="shared" si="20"/>
        <v>3</v>
      </c>
      <c r="N141" s="205">
        <f t="shared" si="21"/>
        <v>1</v>
      </c>
      <c r="O141" s="23">
        <f t="shared" si="22"/>
        <v>20.100000000000001</v>
      </c>
      <c r="P141" s="23">
        <f t="shared" si="23"/>
        <v>38</v>
      </c>
    </row>
    <row r="142" spans="1:16" ht="22.5" customHeight="1" thickBot="1" x14ac:dyDescent="0.3">
      <c r="A142" s="223"/>
      <c r="B142" s="204" t="s">
        <v>63</v>
      </c>
      <c r="C142" s="23">
        <v>0</v>
      </c>
      <c r="D142" s="23">
        <v>0</v>
      </c>
      <c r="E142" s="23">
        <v>0</v>
      </c>
      <c r="F142" s="23">
        <v>0</v>
      </c>
      <c r="G142" s="23">
        <v>16.5</v>
      </c>
      <c r="H142" s="23">
        <v>2.8</v>
      </c>
      <c r="I142" s="23">
        <v>0</v>
      </c>
      <c r="J142" s="23">
        <v>0</v>
      </c>
      <c r="K142" s="23">
        <v>0</v>
      </c>
      <c r="L142" s="23">
        <v>0</v>
      </c>
      <c r="M142" s="205">
        <f t="shared" si="20"/>
        <v>2</v>
      </c>
      <c r="N142" s="205">
        <f t="shared" si="21"/>
        <v>0</v>
      </c>
      <c r="O142" s="23">
        <f t="shared" si="22"/>
        <v>16.5</v>
      </c>
      <c r="P142" s="23">
        <f t="shared" si="23"/>
        <v>19.3</v>
      </c>
    </row>
    <row r="143" spans="1:16" ht="22.5" customHeight="1" thickBot="1" x14ac:dyDescent="0.3">
      <c r="A143" s="223"/>
      <c r="B143" s="204" t="s">
        <v>72</v>
      </c>
      <c r="C143" s="23">
        <v>0</v>
      </c>
      <c r="D143" s="23">
        <v>1.4</v>
      </c>
      <c r="E143" s="23">
        <v>0</v>
      </c>
      <c r="F143" s="23">
        <v>0</v>
      </c>
      <c r="G143" s="23">
        <v>0</v>
      </c>
      <c r="H143" s="23">
        <v>2.1</v>
      </c>
      <c r="I143" s="23">
        <v>0</v>
      </c>
      <c r="J143" s="23">
        <v>0</v>
      </c>
      <c r="K143" s="23">
        <v>0</v>
      </c>
      <c r="L143" s="23">
        <v>9.4</v>
      </c>
      <c r="M143" s="205">
        <f t="shared" si="20"/>
        <v>3</v>
      </c>
      <c r="N143" s="205">
        <f t="shared" si="21"/>
        <v>0</v>
      </c>
      <c r="O143" s="23">
        <f t="shared" si="22"/>
        <v>9.4</v>
      </c>
      <c r="P143" s="23">
        <f t="shared" si="23"/>
        <v>12.9</v>
      </c>
    </row>
    <row r="144" spans="1:16" ht="22.5" customHeight="1" thickBot="1" x14ac:dyDescent="0.3">
      <c r="A144" s="223"/>
      <c r="B144" s="204" t="s">
        <v>77</v>
      </c>
      <c r="C144" s="23">
        <v>0</v>
      </c>
      <c r="D144" s="23">
        <v>12.6</v>
      </c>
      <c r="E144" s="23">
        <v>0</v>
      </c>
      <c r="F144" s="23">
        <v>0</v>
      </c>
      <c r="G144" s="23">
        <v>0</v>
      </c>
      <c r="H144" s="23">
        <v>7.6</v>
      </c>
      <c r="I144" s="23">
        <v>7.6</v>
      </c>
      <c r="J144" s="23">
        <v>0</v>
      </c>
      <c r="K144" s="23">
        <v>0</v>
      </c>
      <c r="L144" s="23">
        <v>0</v>
      </c>
      <c r="M144" s="205">
        <f t="shared" si="20"/>
        <v>3</v>
      </c>
      <c r="N144" s="205">
        <f t="shared" si="21"/>
        <v>0</v>
      </c>
      <c r="O144" s="23">
        <f t="shared" si="22"/>
        <v>12.6</v>
      </c>
      <c r="P144" s="23">
        <f t="shared" si="23"/>
        <v>27.799999999999997</v>
      </c>
    </row>
    <row r="145" spans="1:16" ht="22.5" customHeight="1" thickBot="1" x14ac:dyDescent="0.3">
      <c r="A145" s="223"/>
      <c r="B145" s="204" t="s">
        <v>76</v>
      </c>
      <c r="C145" s="23">
        <v>20.100000000000001</v>
      </c>
      <c r="D145" s="23">
        <v>2.7</v>
      </c>
      <c r="E145" s="23">
        <v>0</v>
      </c>
      <c r="F145" s="23">
        <v>0</v>
      </c>
      <c r="G145" s="23">
        <v>25.9</v>
      </c>
      <c r="H145" s="23">
        <v>0</v>
      </c>
      <c r="I145" s="23">
        <v>0</v>
      </c>
      <c r="J145" s="23">
        <v>0</v>
      </c>
      <c r="K145" s="23">
        <v>0</v>
      </c>
      <c r="L145" s="23">
        <v>0</v>
      </c>
      <c r="M145" s="205">
        <f t="shared" si="20"/>
        <v>3</v>
      </c>
      <c r="N145" s="205">
        <f t="shared" si="21"/>
        <v>2</v>
      </c>
      <c r="O145" s="23">
        <f t="shared" si="22"/>
        <v>25.9</v>
      </c>
      <c r="P145" s="23">
        <f t="shared" si="23"/>
        <v>48.7</v>
      </c>
    </row>
    <row r="146" spans="1:16" ht="22.5" customHeight="1" thickBot="1" x14ac:dyDescent="0.3">
      <c r="A146" s="223"/>
      <c r="B146" s="204" t="s">
        <v>69</v>
      </c>
      <c r="C146" s="23">
        <v>5.5</v>
      </c>
      <c r="D146" s="23">
        <v>4.2</v>
      </c>
      <c r="E146" s="23">
        <v>0</v>
      </c>
      <c r="F146" s="23">
        <v>16.3</v>
      </c>
      <c r="G146" s="23">
        <v>0</v>
      </c>
      <c r="H146" s="23">
        <v>18.8</v>
      </c>
      <c r="I146" s="23">
        <v>0</v>
      </c>
      <c r="J146" s="23">
        <v>0</v>
      </c>
      <c r="K146" s="23">
        <v>1.4</v>
      </c>
      <c r="L146" s="23">
        <v>0</v>
      </c>
      <c r="M146" s="205">
        <f t="shared" si="20"/>
        <v>5</v>
      </c>
      <c r="N146" s="205">
        <f t="shared" si="21"/>
        <v>0</v>
      </c>
      <c r="O146" s="23">
        <f t="shared" si="22"/>
        <v>18.8</v>
      </c>
      <c r="P146" s="23">
        <f t="shared" si="23"/>
        <v>46.199999999999996</v>
      </c>
    </row>
    <row r="147" spans="1:16" ht="22.5" customHeight="1" thickBot="1" x14ac:dyDescent="0.3">
      <c r="A147" s="223"/>
      <c r="B147" s="204" t="s">
        <v>61</v>
      </c>
      <c r="C147" s="206">
        <v>40</v>
      </c>
      <c r="D147" s="206">
        <v>0</v>
      </c>
      <c r="E147" s="206">
        <v>0</v>
      </c>
      <c r="F147" s="206">
        <v>0</v>
      </c>
      <c r="G147" s="206">
        <v>0</v>
      </c>
      <c r="H147" s="206">
        <v>0</v>
      </c>
      <c r="I147" s="206">
        <v>0</v>
      </c>
      <c r="J147" s="206">
        <v>0</v>
      </c>
      <c r="K147" s="206">
        <v>0</v>
      </c>
      <c r="L147" s="206">
        <v>0</v>
      </c>
      <c r="M147" s="205">
        <f t="shared" si="20"/>
        <v>1</v>
      </c>
      <c r="N147" s="205">
        <f t="shared" si="21"/>
        <v>1</v>
      </c>
      <c r="O147" s="23">
        <f t="shared" si="22"/>
        <v>40</v>
      </c>
      <c r="P147" s="23">
        <f t="shared" si="23"/>
        <v>40</v>
      </c>
    </row>
    <row r="148" spans="1:16" ht="22.5" customHeight="1" thickBot="1" x14ac:dyDescent="0.3">
      <c r="A148" s="223"/>
      <c r="B148" s="204" t="s">
        <v>65</v>
      </c>
      <c r="C148" s="207">
        <v>0</v>
      </c>
      <c r="D148" s="207">
        <v>0</v>
      </c>
      <c r="E148" s="207">
        <v>0</v>
      </c>
      <c r="F148" s="207">
        <v>0</v>
      </c>
      <c r="G148" s="207">
        <v>0</v>
      </c>
      <c r="H148" s="207">
        <v>0</v>
      </c>
      <c r="I148" s="207">
        <v>0</v>
      </c>
      <c r="J148" s="207">
        <v>2.4</v>
      </c>
      <c r="K148" s="207">
        <v>0</v>
      </c>
      <c r="L148" s="207">
        <v>0</v>
      </c>
      <c r="M148" s="205">
        <f t="shared" si="20"/>
        <v>1</v>
      </c>
      <c r="N148" s="205">
        <f t="shared" si="21"/>
        <v>0</v>
      </c>
      <c r="O148" s="23">
        <f t="shared" si="22"/>
        <v>2.4</v>
      </c>
      <c r="P148" s="23">
        <f t="shared" si="23"/>
        <v>2.4</v>
      </c>
    </row>
    <row r="149" spans="1:16" ht="22.5" customHeight="1" thickBot="1" x14ac:dyDescent="0.3">
      <c r="A149" s="223"/>
      <c r="B149" s="204" t="s">
        <v>67</v>
      </c>
      <c r="C149" s="218">
        <v>0.6</v>
      </c>
      <c r="D149" s="218">
        <v>0.2</v>
      </c>
      <c r="E149" s="218">
        <v>0</v>
      </c>
      <c r="F149" s="218">
        <v>0</v>
      </c>
      <c r="G149" s="218">
        <v>3.6</v>
      </c>
      <c r="H149" s="218">
        <v>0</v>
      </c>
      <c r="I149" s="218">
        <v>0</v>
      </c>
      <c r="J149" s="218">
        <v>0</v>
      </c>
      <c r="K149" s="218">
        <v>0</v>
      </c>
      <c r="L149" s="218">
        <v>0</v>
      </c>
      <c r="M149" s="205">
        <f t="shared" si="20"/>
        <v>3</v>
      </c>
      <c r="N149" s="205">
        <f t="shared" si="21"/>
        <v>0</v>
      </c>
      <c r="O149" s="23">
        <f t="shared" si="22"/>
        <v>3.6</v>
      </c>
      <c r="P149" s="23">
        <f t="shared" si="23"/>
        <v>4.4000000000000004</v>
      </c>
    </row>
    <row r="150" spans="1:16" ht="22.5" customHeight="1" thickBot="1" x14ac:dyDescent="0.3">
      <c r="A150" s="223"/>
      <c r="B150" s="204" t="s">
        <v>73</v>
      </c>
      <c r="C150" s="207" t="s">
        <v>172</v>
      </c>
      <c r="D150" s="207">
        <v>0</v>
      </c>
      <c r="E150" s="207">
        <v>0</v>
      </c>
      <c r="F150" s="207">
        <v>3.5</v>
      </c>
      <c r="G150" s="207">
        <v>0</v>
      </c>
      <c r="H150" s="207">
        <v>23.3</v>
      </c>
      <c r="I150" s="207">
        <v>0</v>
      </c>
      <c r="J150" s="207">
        <v>0</v>
      </c>
      <c r="K150" s="207">
        <v>0</v>
      </c>
      <c r="L150" s="207">
        <v>0</v>
      </c>
      <c r="M150" s="205">
        <f t="shared" si="20"/>
        <v>2</v>
      </c>
      <c r="N150" s="205">
        <f t="shared" si="21"/>
        <v>1</v>
      </c>
      <c r="O150" s="23">
        <f t="shared" si="22"/>
        <v>23.3</v>
      </c>
      <c r="P150" s="23">
        <f t="shared" si="23"/>
        <v>26.8</v>
      </c>
    </row>
    <row r="151" spans="1:16" ht="22.5" customHeight="1" thickBot="1" x14ac:dyDescent="0.3">
      <c r="A151" s="223"/>
      <c r="B151" s="204" t="s">
        <v>74</v>
      </c>
      <c r="C151" s="207">
        <v>21.7</v>
      </c>
      <c r="D151" s="207">
        <v>0</v>
      </c>
      <c r="E151" s="207">
        <v>0</v>
      </c>
      <c r="F151" s="207">
        <v>0</v>
      </c>
      <c r="G151" s="207">
        <v>12.8</v>
      </c>
      <c r="H151" s="207">
        <v>0</v>
      </c>
      <c r="I151" s="207">
        <v>0</v>
      </c>
      <c r="J151" s="207">
        <v>0</v>
      </c>
      <c r="K151" s="207">
        <v>0</v>
      </c>
      <c r="L151" s="207">
        <v>0</v>
      </c>
      <c r="M151" s="205">
        <f t="shared" si="20"/>
        <v>2</v>
      </c>
      <c r="N151" s="205">
        <f t="shared" si="21"/>
        <v>1</v>
      </c>
      <c r="O151" s="23">
        <f t="shared" si="22"/>
        <v>21.7</v>
      </c>
      <c r="P151" s="23">
        <f t="shared" si="23"/>
        <v>34.5</v>
      </c>
    </row>
    <row r="152" spans="1:16" ht="22.5" customHeight="1" thickBot="1" x14ac:dyDescent="0.3">
      <c r="A152" s="223"/>
      <c r="B152" s="204" t="s">
        <v>64</v>
      </c>
      <c r="C152" s="207">
        <v>0</v>
      </c>
      <c r="D152" s="207">
        <v>0</v>
      </c>
      <c r="E152" s="207">
        <v>0</v>
      </c>
      <c r="F152" s="207">
        <v>0</v>
      </c>
      <c r="G152" s="207">
        <v>0</v>
      </c>
      <c r="H152" s="207">
        <v>0</v>
      </c>
      <c r="I152" s="207">
        <v>0</v>
      </c>
      <c r="J152" s="207">
        <v>0</v>
      </c>
      <c r="K152" s="207">
        <v>0</v>
      </c>
      <c r="L152" s="207">
        <v>0</v>
      </c>
      <c r="M152" s="205">
        <v>0</v>
      </c>
      <c r="N152" s="205">
        <f t="shared" si="21"/>
        <v>0</v>
      </c>
      <c r="O152" s="23">
        <f t="shared" si="22"/>
        <v>0</v>
      </c>
      <c r="P152" s="23">
        <f t="shared" si="23"/>
        <v>0</v>
      </c>
    </row>
    <row r="153" spans="1:16" ht="22.5" customHeight="1" thickBot="1" x14ac:dyDescent="0.3">
      <c r="A153" s="223"/>
      <c r="B153" s="204" t="s">
        <v>156</v>
      </c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05">
        <f t="shared" si="20"/>
        <v>0</v>
      </c>
      <c r="N153" s="205">
        <f t="shared" si="21"/>
        <v>0</v>
      </c>
      <c r="O153" s="23">
        <f t="shared" si="22"/>
        <v>0</v>
      </c>
      <c r="P153" s="23">
        <f t="shared" si="23"/>
        <v>0</v>
      </c>
    </row>
    <row r="154" spans="1:16" ht="22.5" customHeight="1" thickBot="1" x14ac:dyDescent="0.3">
      <c r="A154" s="223"/>
      <c r="B154" s="204" t="s">
        <v>157</v>
      </c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05">
        <f t="shared" si="20"/>
        <v>0</v>
      </c>
      <c r="N154" s="205">
        <f t="shared" si="21"/>
        <v>0</v>
      </c>
      <c r="O154" s="23">
        <f t="shared" si="22"/>
        <v>0</v>
      </c>
      <c r="P154" s="23">
        <f t="shared" si="23"/>
        <v>0</v>
      </c>
    </row>
    <row r="155" spans="1:16" ht="22.5" customHeight="1" thickBot="1" x14ac:dyDescent="0.3">
      <c r="A155" s="223"/>
      <c r="B155" s="204" t="s">
        <v>158</v>
      </c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05">
        <f t="shared" si="20"/>
        <v>0</v>
      </c>
      <c r="N155" s="205">
        <f t="shared" si="21"/>
        <v>0</v>
      </c>
      <c r="O155" s="23">
        <f t="shared" si="22"/>
        <v>0</v>
      </c>
      <c r="P155" s="23">
        <f t="shared" si="23"/>
        <v>0</v>
      </c>
    </row>
    <row r="156" spans="1:16" ht="22.5" customHeight="1" thickBot="1" x14ac:dyDescent="0.3">
      <c r="A156" s="223"/>
      <c r="B156" s="204" t="s">
        <v>159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05">
        <f t="shared" si="20"/>
        <v>0</v>
      </c>
      <c r="N156" s="205">
        <f t="shared" si="21"/>
        <v>0</v>
      </c>
      <c r="O156" s="23">
        <f t="shared" si="22"/>
        <v>0</v>
      </c>
      <c r="P156" s="23">
        <f t="shared" si="23"/>
        <v>0</v>
      </c>
    </row>
    <row r="157" spans="1:16" ht="22.5" customHeight="1" thickBot="1" x14ac:dyDescent="0.3">
      <c r="A157" s="223"/>
      <c r="B157" s="204" t="s">
        <v>160</v>
      </c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05">
        <f t="shared" si="20"/>
        <v>0</v>
      </c>
      <c r="N157" s="205">
        <f t="shared" si="21"/>
        <v>0</v>
      </c>
      <c r="O157" s="23">
        <f t="shared" si="22"/>
        <v>0</v>
      </c>
      <c r="P157" s="23">
        <f t="shared" si="23"/>
        <v>0</v>
      </c>
    </row>
    <row r="158" spans="1:16" ht="22.5" customHeight="1" thickBot="1" x14ac:dyDescent="0.3">
      <c r="A158" s="223"/>
      <c r="B158" s="204" t="s">
        <v>161</v>
      </c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05">
        <f t="shared" si="20"/>
        <v>0</v>
      </c>
      <c r="N158" s="205">
        <f t="shared" si="21"/>
        <v>0</v>
      </c>
      <c r="O158" s="23">
        <f t="shared" si="22"/>
        <v>0</v>
      </c>
      <c r="P158" s="23">
        <f t="shared" si="23"/>
        <v>0</v>
      </c>
    </row>
    <row r="159" spans="1:16" ht="22.5" customHeight="1" thickBot="1" x14ac:dyDescent="0.3">
      <c r="A159" s="223"/>
      <c r="B159" s="204" t="s">
        <v>162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05">
        <f t="shared" si="20"/>
        <v>0</v>
      </c>
      <c r="N159" s="205">
        <f t="shared" si="21"/>
        <v>0</v>
      </c>
      <c r="O159" s="23">
        <f t="shared" si="22"/>
        <v>0</v>
      </c>
      <c r="P159" s="23">
        <f t="shared" si="23"/>
        <v>0</v>
      </c>
    </row>
    <row r="160" spans="1:16" ht="22.5" customHeight="1" thickBot="1" x14ac:dyDescent="0.3">
      <c r="A160" s="223"/>
      <c r="B160" s="204" t="s">
        <v>163</v>
      </c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05">
        <f t="shared" si="20"/>
        <v>0</v>
      </c>
      <c r="N160" s="205">
        <f t="shared" si="21"/>
        <v>0</v>
      </c>
      <c r="O160" s="23">
        <f t="shared" si="22"/>
        <v>0</v>
      </c>
      <c r="P160" s="23">
        <f t="shared" si="23"/>
        <v>0</v>
      </c>
    </row>
    <row r="161" spans="1:19" ht="20.100000000000001" customHeight="1" thickBot="1" x14ac:dyDescent="0.3">
      <c r="A161" s="223"/>
      <c r="B161" s="204" t="s">
        <v>71</v>
      </c>
      <c r="C161" s="23">
        <v>0</v>
      </c>
      <c r="D161" s="23">
        <v>2.8</v>
      </c>
      <c r="E161" s="23">
        <v>0</v>
      </c>
      <c r="F161" s="23">
        <v>0</v>
      </c>
      <c r="G161" s="23">
        <v>0</v>
      </c>
      <c r="H161" s="23">
        <v>0</v>
      </c>
      <c r="I161" s="23">
        <v>0</v>
      </c>
      <c r="J161" s="23">
        <v>0</v>
      </c>
      <c r="K161" s="23">
        <v>0</v>
      </c>
      <c r="L161" s="23">
        <v>0</v>
      </c>
      <c r="M161" s="205">
        <f t="shared" si="20"/>
        <v>1</v>
      </c>
      <c r="N161" s="205">
        <f t="shared" si="21"/>
        <v>0</v>
      </c>
      <c r="O161" s="23">
        <f t="shared" si="22"/>
        <v>2.8</v>
      </c>
      <c r="P161" s="23">
        <f t="shared" si="23"/>
        <v>2.8</v>
      </c>
    </row>
    <row r="162" spans="1:19" ht="20.100000000000001" customHeight="1" thickBot="1" x14ac:dyDescent="0.3">
      <c r="A162" s="223"/>
      <c r="B162" s="204" t="s">
        <v>59</v>
      </c>
      <c r="C162" s="23">
        <v>0</v>
      </c>
      <c r="D162" s="23">
        <v>2.2000000000000002</v>
      </c>
      <c r="E162" s="23">
        <v>0</v>
      </c>
      <c r="F162" s="23">
        <v>0</v>
      </c>
      <c r="G162" s="23">
        <v>0</v>
      </c>
      <c r="H162" s="23">
        <v>0</v>
      </c>
      <c r="I162" s="23">
        <v>0</v>
      </c>
      <c r="J162" s="23">
        <v>0</v>
      </c>
      <c r="K162" s="23">
        <v>6.4</v>
      </c>
      <c r="L162" s="23">
        <v>0</v>
      </c>
      <c r="M162" s="205">
        <f t="shared" si="20"/>
        <v>2</v>
      </c>
      <c r="N162" s="205">
        <f t="shared" si="21"/>
        <v>0</v>
      </c>
      <c r="O162" s="23">
        <f t="shared" si="22"/>
        <v>6.4</v>
      </c>
      <c r="P162" s="23">
        <f t="shared" si="23"/>
        <v>8.6000000000000014</v>
      </c>
    </row>
    <row r="163" spans="1:19" ht="15.75" customHeight="1" thickBot="1" x14ac:dyDescent="0.3">
      <c r="A163" s="223"/>
      <c r="B163" s="204" t="s">
        <v>62</v>
      </c>
      <c r="C163" s="218">
        <v>0</v>
      </c>
      <c r="D163" s="218">
        <v>0</v>
      </c>
      <c r="E163" s="218">
        <v>0</v>
      </c>
      <c r="F163" s="218">
        <v>0</v>
      </c>
      <c r="G163" s="218">
        <v>0</v>
      </c>
      <c r="H163" s="218">
        <v>0.1</v>
      </c>
      <c r="I163" s="218">
        <v>0</v>
      </c>
      <c r="J163" s="218">
        <v>0</v>
      </c>
      <c r="K163" s="218">
        <v>0.3</v>
      </c>
      <c r="L163" s="218">
        <v>0</v>
      </c>
      <c r="M163" s="205">
        <v>0</v>
      </c>
      <c r="N163" s="205">
        <f t="shared" si="21"/>
        <v>0</v>
      </c>
      <c r="O163" s="23">
        <f t="shared" si="22"/>
        <v>0.3</v>
      </c>
      <c r="P163" s="23">
        <f t="shared" si="23"/>
        <v>0.4</v>
      </c>
    </row>
    <row r="164" spans="1:19" ht="16.5" customHeight="1" thickBot="1" x14ac:dyDescent="0.3">
      <c r="A164" s="223"/>
      <c r="B164" s="204" t="s">
        <v>68</v>
      </c>
      <c r="C164" s="23">
        <v>0</v>
      </c>
      <c r="D164" s="23">
        <v>0</v>
      </c>
      <c r="E164" s="23">
        <v>0</v>
      </c>
      <c r="F164" s="23">
        <v>0</v>
      </c>
      <c r="G164" s="23">
        <v>0</v>
      </c>
      <c r="H164" s="23">
        <v>9.8000000000000007</v>
      </c>
      <c r="I164" s="23">
        <v>0</v>
      </c>
      <c r="J164" s="23">
        <v>0</v>
      </c>
      <c r="K164" s="23">
        <v>0</v>
      </c>
      <c r="L164" s="23">
        <v>0</v>
      </c>
      <c r="M164" s="205">
        <f t="shared" si="20"/>
        <v>1</v>
      </c>
      <c r="N164" s="205">
        <f t="shared" si="21"/>
        <v>0</v>
      </c>
      <c r="O164" s="23">
        <f t="shared" si="22"/>
        <v>9.8000000000000007</v>
      </c>
      <c r="P164" s="23">
        <f t="shared" si="23"/>
        <v>9.8000000000000007</v>
      </c>
    </row>
    <row r="165" spans="1:19" ht="16.5" customHeight="1" thickBot="1" x14ac:dyDescent="0.3">
      <c r="A165" s="223"/>
      <c r="B165" s="204" t="s">
        <v>70</v>
      </c>
      <c r="C165" s="23">
        <v>0</v>
      </c>
      <c r="D165" s="23">
        <v>0</v>
      </c>
      <c r="E165" s="23">
        <v>0</v>
      </c>
      <c r="F165" s="23">
        <v>0</v>
      </c>
      <c r="G165" s="23">
        <v>0</v>
      </c>
      <c r="H165" s="23">
        <v>0</v>
      </c>
      <c r="I165" s="23">
        <v>5.3</v>
      </c>
      <c r="J165" s="23">
        <v>0</v>
      </c>
      <c r="K165" s="23">
        <v>0</v>
      </c>
      <c r="L165" s="23">
        <v>0</v>
      </c>
      <c r="M165" s="205">
        <f>COUNTIF(C165:L165,"&gt;0")</f>
        <v>1</v>
      </c>
      <c r="N165" s="205">
        <f>COUNTIF(C165:L165,"&gt;20")</f>
        <v>0</v>
      </c>
      <c r="O165" s="23">
        <f>MAX(C165:L165)</f>
        <v>5.3</v>
      </c>
      <c r="P165" s="23">
        <f>SUM(C165:L165)</f>
        <v>5.3</v>
      </c>
    </row>
    <row r="166" spans="1:19" ht="15.75" customHeight="1" thickBot="1" x14ac:dyDescent="0.3">
      <c r="A166" s="223"/>
      <c r="B166" s="204" t="s">
        <v>75</v>
      </c>
      <c r="C166" s="23">
        <v>0</v>
      </c>
      <c r="D166" s="23">
        <v>0</v>
      </c>
      <c r="E166" s="23">
        <v>0</v>
      </c>
      <c r="F166" s="23">
        <v>0</v>
      </c>
      <c r="G166" s="23">
        <v>10.1</v>
      </c>
      <c r="H166" s="23">
        <v>3</v>
      </c>
      <c r="I166" s="23">
        <v>0</v>
      </c>
      <c r="J166" s="23">
        <v>0</v>
      </c>
      <c r="K166" s="23">
        <v>0</v>
      </c>
      <c r="L166" s="23">
        <v>0</v>
      </c>
      <c r="M166" s="205">
        <f t="shared" si="20"/>
        <v>2</v>
      </c>
      <c r="N166" s="205">
        <f t="shared" si="21"/>
        <v>0</v>
      </c>
      <c r="O166" s="23">
        <f t="shared" si="22"/>
        <v>10.1</v>
      </c>
      <c r="P166" s="23">
        <f t="shared" si="23"/>
        <v>13.1</v>
      </c>
    </row>
    <row r="167" spans="1:19" ht="16.5" customHeight="1" thickBot="1" x14ac:dyDescent="0.3">
      <c r="A167" s="223"/>
      <c r="B167" s="204" t="s">
        <v>144</v>
      </c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05">
        <f t="shared" si="20"/>
        <v>0</v>
      </c>
      <c r="N167" s="205">
        <f t="shared" si="21"/>
        <v>0</v>
      </c>
      <c r="O167" s="23">
        <f t="shared" si="22"/>
        <v>0</v>
      </c>
      <c r="P167" s="23">
        <f t="shared" si="23"/>
        <v>0</v>
      </c>
      <c r="S167" s="26"/>
    </row>
    <row r="168" spans="1:19" ht="16.5" thickBot="1" x14ac:dyDescent="0.3">
      <c r="B168" s="204" t="s">
        <v>166</v>
      </c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05">
        <f t="shared" si="20"/>
        <v>0</v>
      </c>
      <c r="N168" s="205">
        <f t="shared" si="21"/>
        <v>0</v>
      </c>
      <c r="O168" s="23">
        <f t="shared" si="22"/>
        <v>0</v>
      </c>
      <c r="P168" s="23">
        <f t="shared" si="23"/>
        <v>0</v>
      </c>
    </row>
    <row r="169" spans="1:19" ht="15.75" x14ac:dyDescent="0.25">
      <c r="B169" s="56"/>
      <c r="C169" s="214"/>
      <c r="D169" s="214"/>
      <c r="E169" s="214"/>
      <c r="F169" s="214"/>
      <c r="G169" s="214"/>
      <c r="H169" s="214"/>
      <c r="I169" s="214"/>
      <c r="J169" s="214"/>
      <c r="K169" s="214"/>
      <c r="L169" s="214"/>
      <c r="M169" s="57"/>
      <c r="N169" s="57"/>
      <c r="O169" s="214"/>
      <c r="P169" s="214"/>
    </row>
  </sheetData>
  <sortState ref="B9:P18">
    <sortCondition ref="B7:B18"/>
  </sortState>
  <mergeCells count="27">
    <mergeCell ref="A4:A6"/>
    <mergeCell ref="C82:P83"/>
    <mergeCell ref="B110:B112"/>
    <mergeCell ref="C110:P111"/>
    <mergeCell ref="B82:B84"/>
    <mergeCell ref="B77:P77"/>
    <mergeCell ref="C4:P5"/>
    <mergeCell ref="B28:B30"/>
    <mergeCell ref="C28:P29"/>
    <mergeCell ref="B52:B54"/>
    <mergeCell ref="C52:P53"/>
    <mergeCell ref="B48:N48"/>
    <mergeCell ref="B4:B6"/>
    <mergeCell ref="A7:A21"/>
    <mergeCell ref="B136:B138"/>
    <mergeCell ref="C136:P137"/>
    <mergeCell ref="B127:P127"/>
    <mergeCell ref="A82:A84"/>
    <mergeCell ref="A110:A112"/>
    <mergeCell ref="A113:A125"/>
    <mergeCell ref="A136:A138"/>
    <mergeCell ref="A85:A101"/>
    <mergeCell ref="A139:A167"/>
    <mergeCell ref="A52:A54"/>
    <mergeCell ref="A31:A47"/>
    <mergeCell ref="A55:A76"/>
    <mergeCell ref="A28:A30"/>
  </mergeCells>
  <pageMargins left="0.70866141732283461" right="0.70866141732283461" top="0.39370078740157483" bottom="0.9448818897637795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7"/>
  <sheetViews>
    <sheetView tabSelected="1" topLeftCell="A43" zoomScale="120" zoomScaleNormal="120" workbookViewId="0">
      <selection activeCell="B56" sqref="A56:XFD56"/>
    </sheetView>
  </sheetViews>
  <sheetFormatPr baseColWidth="10" defaultColWidth="11.42578125" defaultRowHeight="15" x14ac:dyDescent="0.25"/>
  <cols>
    <col min="1" max="1" width="11.28515625" style="154" customWidth="1"/>
    <col min="2" max="2" width="17.140625" customWidth="1"/>
    <col min="3" max="4" width="6.42578125" customWidth="1"/>
    <col min="5" max="5" width="8.5703125" customWidth="1"/>
    <col min="6" max="6" width="5.42578125" bestFit="1" customWidth="1"/>
    <col min="7" max="7" width="6.140625" customWidth="1"/>
    <col min="8" max="8" width="9.140625" customWidth="1"/>
    <col min="9" max="9" width="5.7109375" customWidth="1"/>
    <col min="10" max="10" width="7.42578125" customWidth="1"/>
    <col min="11" max="11" width="5.140625" customWidth="1"/>
    <col min="12" max="12" width="5.85546875" customWidth="1"/>
    <col min="13" max="13" width="5.28515625" customWidth="1"/>
    <col min="14" max="14" width="7.28515625" customWidth="1"/>
    <col min="15" max="15" width="7" customWidth="1"/>
    <col min="16" max="16" width="7.7109375" customWidth="1"/>
  </cols>
  <sheetData>
    <row r="1" spans="1:22" ht="15" customHeight="1" thickBot="1" x14ac:dyDescent="0.3">
      <c r="B1" s="94"/>
      <c r="N1" s="76"/>
      <c r="O1" s="77"/>
    </row>
    <row r="2" spans="1:22" ht="15" customHeight="1" x14ac:dyDescent="0.25">
      <c r="A2" s="224" t="s">
        <v>1</v>
      </c>
      <c r="B2" s="263" t="s">
        <v>2</v>
      </c>
      <c r="C2" s="234" t="s">
        <v>170</v>
      </c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5"/>
    </row>
    <row r="3" spans="1:22" ht="15.75" customHeight="1" thickBot="1" x14ac:dyDescent="0.3">
      <c r="A3" s="225"/>
      <c r="B3" s="263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8"/>
    </row>
    <row r="4" spans="1:22" ht="23.25" customHeight="1" thickBot="1" x14ac:dyDescent="0.3">
      <c r="A4" s="225"/>
      <c r="B4" s="263"/>
      <c r="C4" s="20">
        <v>11</v>
      </c>
      <c r="D4" s="20">
        <v>12</v>
      </c>
      <c r="E4" s="20">
        <v>13</v>
      </c>
      <c r="F4" s="20">
        <v>14</v>
      </c>
      <c r="G4" s="20">
        <v>15</v>
      </c>
      <c r="H4" s="20">
        <v>16</v>
      </c>
      <c r="I4" s="20">
        <v>17</v>
      </c>
      <c r="J4" s="20">
        <v>18</v>
      </c>
      <c r="K4" s="20">
        <v>19</v>
      </c>
      <c r="L4" s="21">
        <v>20</v>
      </c>
      <c r="M4" s="60" t="s">
        <v>114</v>
      </c>
      <c r="N4" s="1" t="s">
        <v>105</v>
      </c>
      <c r="O4" s="57" t="s">
        <v>106</v>
      </c>
      <c r="P4" s="84" t="s">
        <v>0</v>
      </c>
    </row>
    <row r="5" spans="1:22" ht="16.5" customHeight="1" thickBot="1" x14ac:dyDescent="0.3">
      <c r="A5" s="246" t="s">
        <v>126</v>
      </c>
      <c r="B5" s="50" t="s">
        <v>115</v>
      </c>
      <c r="C5" s="79"/>
      <c r="D5" s="80"/>
      <c r="E5" s="85"/>
      <c r="F5" s="87"/>
      <c r="G5" s="20"/>
      <c r="H5" s="87"/>
      <c r="I5" s="87"/>
      <c r="J5" s="87"/>
      <c r="K5" s="87"/>
      <c r="L5" s="87"/>
      <c r="M5" s="88">
        <f>COUNTIF(C5:L5,"&gt;0")</f>
        <v>0</v>
      </c>
      <c r="N5" s="88">
        <f>COUNTIF(C5:L5,"&gt;20")</f>
        <v>0</v>
      </c>
      <c r="O5" s="89">
        <f>MAX(C5:L5)</f>
        <v>0</v>
      </c>
      <c r="P5" s="89">
        <f>SUM(C5:L5)</f>
        <v>0</v>
      </c>
      <c r="Q5" s="76"/>
      <c r="R5" s="76"/>
      <c r="S5" s="76"/>
      <c r="T5" s="76"/>
      <c r="U5" s="76"/>
      <c r="V5" s="76"/>
    </row>
    <row r="6" spans="1:22" ht="16.5" thickBot="1" x14ac:dyDescent="0.3">
      <c r="A6" s="247"/>
      <c r="B6" s="50" t="s">
        <v>103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88">
        <f t="shared" ref="M6:M19" si="0">COUNTIF(C6:L6,"&gt;0")</f>
        <v>0</v>
      </c>
      <c r="N6" s="88">
        <f t="shared" ref="N6:N19" si="1">COUNTIF(C6:L6,"&gt;20")</f>
        <v>0</v>
      </c>
      <c r="O6" s="89">
        <f t="shared" ref="O6:O19" si="2">MAX(C6:L6)</f>
        <v>0</v>
      </c>
      <c r="P6" s="89">
        <f t="shared" ref="P6:P18" si="3">SUM(C6:L6)</f>
        <v>0</v>
      </c>
      <c r="Q6" s="76"/>
      <c r="R6" s="76"/>
      <c r="S6" s="76"/>
      <c r="T6" s="76"/>
      <c r="U6" s="76"/>
      <c r="V6" s="76"/>
    </row>
    <row r="7" spans="1:22" ht="32.25" thickBot="1" x14ac:dyDescent="0.3">
      <c r="A7" s="247"/>
      <c r="B7" s="50" t="s">
        <v>104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  <c r="M7" s="220">
        <f t="shared" si="0"/>
        <v>0</v>
      </c>
      <c r="N7" s="220">
        <f t="shared" si="1"/>
        <v>0</v>
      </c>
      <c r="O7" s="89">
        <f t="shared" si="2"/>
        <v>0</v>
      </c>
      <c r="P7" s="89">
        <f t="shared" si="3"/>
        <v>0</v>
      </c>
    </row>
    <row r="8" spans="1:22" ht="16.5" thickBot="1" x14ac:dyDescent="0.3">
      <c r="A8" s="247"/>
      <c r="B8" s="50" t="s">
        <v>85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88">
        <f t="shared" si="0"/>
        <v>0</v>
      </c>
      <c r="N8" s="88">
        <f t="shared" si="1"/>
        <v>0</v>
      </c>
      <c r="O8" s="89">
        <f t="shared" si="2"/>
        <v>0</v>
      </c>
      <c r="P8" s="89">
        <f t="shared" si="3"/>
        <v>0</v>
      </c>
    </row>
    <row r="9" spans="1:22" ht="16.5" thickBot="1" x14ac:dyDescent="0.3">
      <c r="A9" s="247"/>
      <c r="B9" s="50" t="s">
        <v>93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88">
        <f t="shared" si="0"/>
        <v>0</v>
      </c>
      <c r="N9" s="88">
        <f t="shared" si="1"/>
        <v>0</v>
      </c>
      <c r="O9" s="89">
        <f t="shared" si="2"/>
        <v>0</v>
      </c>
      <c r="P9" s="89">
        <f t="shared" si="3"/>
        <v>0</v>
      </c>
    </row>
    <row r="10" spans="1:22" ht="15.75" thickBot="1" x14ac:dyDescent="0.3">
      <c r="A10" s="247"/>
      <c r="B10" s="138" t="s">
        <v>117</v>
      </c>
      <c r="C10" s="24"/>
      <c r="D10" s="25"/>
      <c r="E10" s="25"/>
      <c r="F10" s="25"/>
      <c r="G10" s="25"/>
      <c r="H10" s="25"/>
      <c r="I10" s="25"/>
      <c r="J10" s="25"/>
      <c r="K10" s="25"/>
      <c r="L10" s="61"/>
      <c r="M10" s="88">
        <f t="shared" si="0"/>
        <v>0</v>
      </c>
      <c r="N10" s="88">
        <f t="shared" si="1"/>
        <v>0</v>
      </c>
      <c r="O10" s="89">
        <f t="shared" si="2"/>
        <v>0</v>
      </c>
      <c r="P10" s="89">
        <f t="shared" si="3"/>
        <v>0</v>
      </c>
    </row>
    <row r="11" spans="1:22" ht="15.75" thickBot="1" x14ac:dyDescent="0.3">
      <c r="A11" s="247"/>
      <c r="B11" s="139" t="s">
        <v>116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88">
        <f t="shared" si="0"/>
        <v>0</v>
      </c>
      <c r="N11" s="88">
        <f t="shared" si="1"/>
        <v>0</v>
      </c>
      <c r="O11" s="89">
        <f t="shared" si="2"/>
        <v>0</v>
      </c>
      <c r="P11" s="89">
        <f t="shared" si="3"/>
        <v>0</v>
      </c>
    </row>
    <row r="12" spans="1:22" ht="16.5" thickBot="1" x14ac:dyDescent="0.3">
      <c r="A12" s="247"/>
      <c r="B12" s="50" t="s">
        <v>112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09"/>
      <c r="M12" s="88">
        <f t="shared" si="0"/>
        <v>0</v>
      </c>
      <c r="N12" s="88">
        <f t="shared" si="1"/>
        <v>0</v>
      </c>
      <c r="O12" s="89">
        <f t="shared" si="2"/>
        <v>0</v>
      </c>
      <c r="P12" s="89">
        <f t="shared" si="3"/>
        <v>0</v>
      </c>
    </row>
    <row r="13" spans="1:22" ht="16.5" thickBot="1" x14ac:dyDescent="0.3">
      <c r="A13" s="247"/>
      <c r="B13" s="50" t="s">
        <v>3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88">
        <f t="shared" si="0"/>
        <v>0</v>
      </c>
      <c r="N13" s="88">
        <f t="shared" si="1"/>
        <v>0</v>
      </c>
      <c r="O13" s="89">
        <f t="shared" si="2"/>
        <v>0</v>
      </c>
      <c r="P13" s="89">
        <f t="shared" si="3"/>
        <v>0</v>
      </c>
    </row>
    <row r="14" spans="1:22" ht="16.5" thickBot="1" x14ac:dyDescent="0.3">
      <c r="A14" s="247"/>
      <c r="B14" s="50" t="s">
        <v>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88">
        <f t="shared" si="0"/>
        <v>0</v>
      </c>
      <c r="N14" s="88">
        <f t="shared" si="1"/>
        <v>0</v>
      </c>
      <c r="O14" s="89">
        <f t="shared" si="2"/>
        <v>0</v>
      </c>
      <c r="P14" s="89">
        <f t="shared" si="3"/>
        <v>0</v>
      </c>
    </row>
    <row r="15" spans="1:22" ht="16.5" thickBot="1" x14ac:dyDescent="0.3">
      <c r="A15" s="247"/>
      <c r="B15" s="50" t="s">
        <v>7</v>
      </c>
      <c r="C15" s="24"/>
      <c r="D15" s="24"/>
      <c r="E15" s="24"/>
      <c r="F15" s="24"/>
      <c r="G15" s="24"/>
      <c r="H15" s="24"/>
      <c r="I15" s="24">
        <v>0.3</v>
      </c>
      <c r="J15" s="24"/>
      <c r="K15" s="24"/>
      <c r="L15" s="24"/>
      <c r="M15" s="88">
        <f t="shared" si="0"/>
        <v>1</v>
      </c>
      <c r="N15" s="88">
        <f t="shared" si="1"/>
        <v>0</v>
      </c>
      <c r="O15" s="89">
        <f t="shared" si="2"/>
        <v>0.3</v>
      </c>
      <c r="P15" s="89">
        <f t="shared" si="3"/>
        <v>0.3</v>
      </c>
    </row>
    <row r="16" spans="1:22" ht="16.5" thickBot="1" x14ac:dyDescent="0.3">
      <c r="A16" s="247"/>
      <c r="B16" s="50" t="s">
        <v>6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88">
        <f t="shared" si="0"/>
        <v>0</v>
      </c>
      <c r="N16" s="88">
        <f t="shared" si="1"/>
        <v>0</v>
      </c>
      <c r="O16" s="89">
        <f t="shared" si="2"/>
        <v>0</v>
      </c>
      <c r="P16" s="89">
        <f t="shared" si="3"/>
        <v>0</v>
      </c>
    </row>
    <row r="17" spans="1:22" ht="16.5" thickBot="1" x14ac:dyDescent="0.3">
      <c r="A17" s="247"/>
      <c r="B17" s="95" t="s">
        <v>5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88">
        <f t="shared" si="0"/>
        <v>0</v>
      </c>
      <c r="N17" s="88">
        <f t="shared" si="1"/>
        <v>0</v>
      </c>
      <c r="O17" s="89">
        <f t="shared" si="2"/>
        <v>0</v>
      </c>
      <c r="P17" s="89">
        <f t="shared" si="3"/>
        <v>0</v>
      </c>
    </row>
    <row r="18" spans="1:22" ht="16.5" thickBot="1" x14ac:dyDescent="0.3">
      <c r="A18" s="247"/>
      <c r="B18" s="96" t="s">
        <v>8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88">
        <f t="shared" si="0"/>
        <v>0</v>
      </c>
      <c r="N18" s="88">
        <f t="shared" si="1"/>
        <v>0</v>
      </c>
      <c r="O18" s="89">
        <f t="shared" si="2"/>
        <v>0</v>
      </c>
      <c r="P18" s="89">
        <f t="shared" si="3"/>
        <v>0</v>
      </c>
    </row>
    <row r="19" spans="1:22" ht="16.5" thickBot="1" x14ac:dyDescent="0.3">
      <c r="A19" s="248"/>
      <c r="B19" s="96" t="s">
        <v>146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88">
        <f t="shared" si="0"/>
        <v>0</v>
      </c>
      <c r="N19" s="88">
        <f t="shared" si="1"/>
        <v>0</v>
      </c>
      <c r="O19" s="89">
        <f t="shared" si="2"/>
        <v>0</v>
      </c>
      <c r="P19" s="89">
        <f>SUM(C19:L19)</f>
        <v>0</v>
      </c>
    </row>
    <row r="20" spans="1:22" ht="15.75" x14ac:dyDescent="0.25">
      <c r="B20" s="243"/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32"/>
      <c r="P20" s="33"/>
    </row>
    <row r="21" spans="1:22" ht="15.75" thickBot="1" x14ac:dyDescent="0.3">
      <c r="A21" s="156"/>
      <c r="B21" s="97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7"/>
      <c r="P21" s="76"/>
      <c r="Q21" s="76"/>
      <c r="R21" s="76"/>
      <c r="S21" s="76"/>
      <c r="T21" s="76"/>
      <c r="U21" s="76"/>
      <c r="V21" s="76"/>
    </row>
    <row r="22" spans="1:22" ht="15" customHeight="1" x14ac:dyDescent="0.25">
      <c r="A22" s="224" t="s">
        <v>1</v>
      </c>
      <c r="B22" s="240" t="s">
        <v>2</v>
      </c>
      <c r="C22" s="234" t="str">
        <f>C2</f>
        <v>HAUTEURS JOURNALIERES DE PLUIE :                                                                                                                              2ème DECADE DU MOIS DE AOUT 2025</v>
      </c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5"/>
    </row>
    <row r="23" spans="1:22" ht="15.75" customHeight="1" thickBot="1" x14ac:dyDescent="0.3">
      <c r="A23" s="225"/>
      <c r="B23" s="241"/>
      <c r="C23" s="237"/>
      <c r="D23" s="237"/>
      <c r="E23" s="237"/>
      <c r="F23" s="237"/>
      <c r="G23" s="237"/>
      <c r="H23" s="237"/>
      <c r="I23" s="237"/>
      <c r="J23" s="237"/>
      <c r="K23" s="237"/>
      <c r="L23" s="237"/>
      <c r="M23" s="237"/>
      <c r="N23" s="237"/>
      <c r="O23" s="237"/>
      <c r="P23" s="238"/>
    </row>
    <row r="24" spans="1:22" ht="24.75" customHeight="1" thickBot="1" x14ac:dyDescent="0.3">
      <c r="A24" s="226"/>
      <c r="B24" s="241"/>
      <c r="C24" s="90">
        <v>11</v>
      </c>
      <c r="D24" s="20">
        <v>12</v>
      </c>
      <c r="E24" s="90">
        <v>13</v>
      </c>
      <c r="F24" s="20">
        <v>14</v>
      </c>
      <c r="G24" s="90">
        <v>15</v>
      </c>
      <c r="H24" s="20">
        <v>16</v>
      </c>
      <c r="I24" s="90">
        <v>17</v>
      </c>
      <c r="J24" s="20">
        <v>18</v>
      </c>
      <c r="K24" s="90">
        <v>19</v>
      </c>
      <c r="L24" s="20">
        <v>20</v>
      </c>
      <c r="M24" s="60" t="s">
        <v>89</v>
      </c>
      <c r="N24" s="60" t="s">
        <v>105</v>
      </c>
      <c r="O24" s="82" t="s">
        <v>106</v>
      </c>
      <c r="P24" s="91" t="s">
        <v>0</v>
      </c>
    </row>
    <row r="25" spans="1:22" ht="21.75" customHeight="1" thickBot="1" x14ac:dyDescent="0.3">
      <c r="A25" s="250" t="s">
        <v>127</v>
      </c>
      <c r="B25" s="134" t="s">
        <v>118</v>
      </c>
      <c r="C25" s="132"/>
      <c r="D25" s="132">
        <v>22</v>
      </c>
      <c r="E25" s="132">
        <v>8</v>
      </c>
      <c r="F25" s="132"/>
      <c r="G25" s="132">
        <v>16</v>
      </c>
      <c r="H25" s="132"/>
      <c r="I25" s="132"/>
      <c r="J25" s="132">
        <v>31</v>
      </c>
      <c r="K25" s="132">
        <v>5</v>
      </c>
      <c r="L25" s="132">
        <v>22</v>
      </c>
      <c r="M25" s="86">
        <f>COUNTIF(C25:L25,"&gt;0")</f>
        <v>6</v>
      </c>
      <c r="N25" s="86">
        <f>COUNTIF(C25:L25,"&gt;20")</f>
        <v>3</v>
      </c>
      <c r="O25" s="89">
        <f>MAX(C25:L25)</f>
        <v>31</v>
      </c>
      <c r="P25" s="89">
        <f>SUM(C25:L25)</f>
        <v>104</v>
      </c>
    </row>
    <row r="26" spans="1:22" ht="27" customHeight="1" thickBot="1" x14ac:dyDescent="0.3">
      <c r="A26" s="251"/>
      <c r="B26" s="133" t="s">
        <v>11</v>
      </c>
      <c r="C26" s="132">
        <v>14.4</v>
      </c>
      <c r="D26" s="132"/>
      <c r="E26" s="132">
        <v>32.799999999999997</v>
      </c>
      <c r="F26" s="132">
        <v>10.199999999999999</v>
      </c>
      <c r="G26" s="132"/>
      <c r="H26" s="132"/>
      <c r="I26" s="132"/>
      <c r="J26" s="132">
        <v>23.1</v>
      </c>
      <c r="K26" s="132"/>
      <c r="L26" s="132"/>
      <c r="M26" s="86">
        <f t="shared" ref="M26:M42" si="4">COUNTIF(C26:L26,"&gt;0")</f>
        <v>4</v>
      </c>
      <c r="N26" s="86">
        <f t="shared" ref="N26:N42" si="5">COUNTIF(C26:L26,"&gt;20")</f>
        <v>2</v>
      </c>
      <c r="O26" s="89">
        <f t="shared" ref="O26:O42" si="6">MAX(C26:L26)</f>
        <v>32.799999999999997</v>
      </c>
      <c r="P26" s="89">
        <f t="shared" ref="P26:P42" si="7">SUM(C26:L26)</f>
        <v>80.5</v>
      </c>
    </row>
    <row r="27" spans="1:22" ht="22.5" customHeight="1" x14ac:dyDescent="0.25">
      <c r="A27" s="251"/>
      <c r="B27" s="135" t="s">
        <v>13</v>
      </c>
      <c r="C27" s="132">
        <v>22.6</v>
      </c>
      <c r="D27" s="132"/>
      <c r="E27" s="132">
        <v>19.100000000000001</v>
      </c>
      <c r="F27" s="132"/>
      <c r="G27" s="132">
        <v>70.099999999999994</v>
      </c>
      <c r="H27" s="132">
        <v>10.3</v>
      </c>
      <c r="I27" s="132">
        <v>9.6</v>
      </c>
      <c r="J27" s="132">
        <v>18.7</v>
      </c>
      <c r="K27" s="132">
        <v>0.4</v>
      </c>
      <c r="L27" s="132"/>
      <c r="M27" s="86">
        <f t="shared" si="4"/>
        <v>7</v>
      </c>
      <c r="N27" s="86">
        <f t="shared" si="5"/>
        <v>2</v>
      </c>
      <c r="O27" s="89">
        <f t="shared" si="6"/>
        <v>70.099999999999994</v>
      </c>
      <c r="P27" s="89">
        <f t="shared" si="7"/>
        <v>150.79999999999998</v>
      </c>
    </row>
    <row r="28" spans="1:22" ht="22.5" customHeight="1" x14ac:dyDescent="0.25">
      <c r="A28" s="251"/>
      <c r="B28" s="136" t="s">
        <v>15</v>
      </c>
      <c r="C28" s="132">
        <v>52.2</v>
      </c>
      <c r="D28" s="132"/>
      <c r="E28" s="132">
        <v>10.199999999999999</v>
      </c>
      <c r="F28" s="132">
        <v>57.8</v>
      </c>
      <c r="G28" s="132"/>
      <c r="H28" s="132">
        <v>21.7</v>
      </c>
      <c r="I28" s="132">
        <v>24.3</v>
      </c>
      <c r="J28" s="132"/>
      <c r="K28" s="132"/>
      <c r="L28" s="132"/>
      <c r="M28" s="86">
        <f t="shared" si="4"/>
        <v>5</v>
      </c>
      <c r="N28" s="86">
        <f t="shared" si="5"/>
        <v>4</v>
      </c>
      <c r="O28" s="89">
        <f t="shared" si="6"/>
        <v>57.8</v>
      </c>
      <c r="P28" s="89">
        <f t="shared" si="7"/>
        <v>166.20000000000002</v>
      </c>
    </row>
    <row r="29" spans="1:22" ht="22.5" customHeight="1" x14ac:dyDescent="0.25">
      <c r="A29" s="251"/>
      <c r="B29" s="136" t="s">
        <v>16</v>
      </c>
      <c r="C29" s="132">
        <v>13.2</v>
      </c>
      <c r="D29" s="132"/>
      <c r="E29" s="132"/>
      <c r="F29" s="132">
        <v>1.4</v>
      </c>
      <c r="G29" s="132">
        <v>65</v>
      </c>
      <c r="H29" s="132">
        <v>11.3</v>
      </c>
      <c r="I29" s="132">
        <v>7.2</v>
      </c>
      <c r="J29" s="132">
        <v>24.6</v>
      </c>
      <c r="K29" s="132"/>
      <c r="L29" s="132"/>
      <c r="M29" s="86">
        <f t="shared" si="4"/>
        <v>6</v>
      </c>
      <c r="N29" s="86">
        <f t="shared" si="5"/>
        <v>2</v>
      </c>
      <c r="O29" s="89">
        <f t="shared" si="6"/>
        <v>65</v>
      </c>
      <c r="P29" s="89">
        <f t="shared" si="7"/>
        <v>122.69999999999999</v>
      </c>
    </row>
    <row r="30" spans="1:22" ht="21" customHeight="1" x14ac:dyDescent="0.25">
      <c r="A30" s="251"/>
      <c r="B30" s="136" t="s">
        <v>119</v>
      </c>
      <c r="C30" s="132">
        <v>17.2</v>
      </c>
      <c r="D30" s="132"/>
      <c r="E30" s="132"/>
      <c r="F30" s="132"/>
      <c r="G30" s="132"/>
      <c r="H30" s="132">
        <v>68.900000000000006</v>
      </c>
      <c r="I30" s="132"/>
      <c r="J30" s="132">
        <v>18.2</v>
      </c>
      <c r="K30" s="132"/>
      <c r="L30" s="132"/>
      <c r="M30" s="86">
        <f t="shared" si="4"/>
        <v>3</v>
      </c>
      <c r="N30" s="86">
        <f t="shared" si="5"/>
        <v>1</v>
      </c>
      <c r="O30" s="89">
        <f t="shared" si="6"/>
        <v>68.900000000000006</v>
      </c>
      <c r="P30" s="89">
        <f t="shared" si="7"/>
        <v>104.30000000000001</v>
      </c>
    </row>
    <row r="31" spans="1:22" ht="21.75" customHeight="1" thickBot="1" x14ac:dyDescent="0.3">
      <c r="A31" s="251"/>
      <c r="B31" s="137" t="s">
        <v>21</v>
      </c>
      <c r="C31" s="218">
        <v>32.1</v>
      </c>
      <c r="D31" s="218"/>
      <c r="E31" s="218">
        <v>1</v>
      </c>
      <c r="F31" s="218">
        <v>25.2</v>
      </c>
      <c r="G31" s="218">
        <v>6.6</v>
      </c>
      <c r="H31" s="218">
        <v>15.5</v>
      </c>
      <c r="I31" s="218"/>
      <c r="J31" s="218">
        <v>43.1</v>
      </c>
      <c r="K31" s="218">
        <v>0.6</v>
      </c>
      <c r="L31" s="218"/>
      <c r="M31" s="86">
        <f t="shared" si="4"/>
        <v>7</v>
      </c>
      <c r="N31" s="86">
        <f t="shared" si="5"/>
        <v>3</v>
      </c>
      <c r="O31" s="89">
        <f t="shared" si="6"/>
        <v>43.1</v>
      </c>
      <c r="P31" s="89">
        <f t="shared" si="7"/>
        <v>124.1</v>
      </c>
    </row>
    <row r="32" spans="1:22" ht="21.75" customHeight="1" thickBot="1" x14ac:dyDescent="0.3">
      <c r="A32" s="228"/>
      <c r="B32" s="50" t="s">
        <v>19</v>
      </c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86">
        <f t="shared" si="4"/>
        <v>0</v>
      </c>
      <c r="N32" s="86">
        <f t="shared" si="5"/>
        <v>0</v>
      </c>
      <c r="O32" s="89">
        <f t="shared" si="6"/>
        <v>0</v>
      </c>
      <c r="P32" s="89">
        <f t="shared" si="7"/>
        <v>0</v>
      </c>
    </row>
    <row r="33" spans="1:22" ht="21.75" customHeight="1" thickBot="1" x14ac:dyDescent="0.3">
      <c r="A33" s="228"/>
      <c r="B33" s="96" t="s">
        <v>22</v>
      </c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86">
        <f t="shared" si="4"/>
        <v>0</v>
      </c>
      <c r="N33" s="86">
        <f t="shared" si="5"/>
        <v>0</v>
      </c>
      <c r="O33" s="89">
        <f t="shared" si="6"/>
        <v>0</v>
      </c>
      <c r="P33" s="89">
        <f t="shared" si="7"/>
        <v>0</v>
      </c>
    </row>
    <row r="34" spans="1:22" ht="24.75" customHeight="1" thickBot="1" x14ac:dyDescent="0.3">
      <c r="A34" s="228"/>
      <c r="B34" s="50" t="s">
        <v>84</v>
      </c>
      <c r="C34" s="132">
        <v>90.9</v>
      </c>
      <c r="D34" s="132"/>
      <c r="E34" s="132"/>
      <c r="F34" s="132"/>
      <c r="G34" s="132">
        <v>22.1</v>
      </c>
      <c r="H34" s="132">
        <v>12.3</v>
      </c>
      <c r="I34" s="132"/>
      <c r="J34" s="132"/>
      <c r="K34" s="132"/>
      <c r="L34" s="132"/>
      <c r="M34" s="86">
        <f t="shared" si="4"/>
        <v>3</v>
      </c>
      <c r="N34" s="86">
        <f t="shared" si="5"/>
        <v>2</v>
      </c>
      <c r="O34" s="89">
        <f t="shared" si="6"/>
        <v>90.9</v>
      </c>
      <c r="P34" s="89">
        <f t="shared" si="7"/>
        <v>125.3</v>
      </c>
    </row>
    <row r="35" spans="1:22" ht="15.75" customHeight="1" thickBot="1" x14ac:dyDescent="0.3">
      <c r="A35" s="228"/>
      <c r="B35" s="50" t="s">
        <v>108</v>
      </c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86">
        <f t="shared" si="4"/>
        <v>0</v>
      </c>
      <c r="N35" s="86">
        <f t="shared" si="5"/>
        <v>0</v>
      </c>
      <c r="O35" s="89">
        <f t="shared" si="6"/>
        <v>0</v>
      </c>
      <c r="P35" s="89">
        <f t="shared" si="7"/>
        <v>0</v>
      </c>
    </row>
    <row r="36" spans="1:22" ht="16.5" thickBot="1" x14ac:dyDescent="0.3">
      <c r="A36" s="228"/>
      <c r="B36" s="50" t="s">
        <v>9</v>
      </c>
      <c r="C36" s="132"/>
      <c r="D36" s="132"/>
      <c r="E36" s="132"/>
      <c r="F36" s="132"/>
      <c r="G36" s="132">
        <v>3.7</v>
      </c>
      <c r="H36" s="132"/>
      <c r="I36" s="132"/>
      <c r="J36" s="132"/>
      <c r="K36" s="132">
        <v>2.4</v>
      </c>
      <c r="L36" s="132"/>
      <c r="M36" s="86">
        <f t="shared" si="4"/>
        <v>2</v>
      </c>
      <c r="N36" s="86">
        <f t="shared" si="5"/>
        <v>0</v>
      </c>
      <c r="O36" s="89">
        <f t="shared" si="6"/>
        <v>3.7</v>
      </c>
      <c r="P36" s="89">
        <f t="shared" si="7"/>
        <v>6.1</v>
      </c>
    </row>
    <row r="37" spans="1:22" ht="16.5" thickBot="1" x14ac:dyDescent="0.3">
      <c r="A37" s="228"/>
      <c r="B37" s="50" t="s">
        <v>14</v>
      </c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86">
        <f t="shared" si="4"/>
        <v>0</v>
      </c>
      <c r="N37" s="86">
        <f t="shared" si="5"/>
        <v>0</v>
      </c>
      <c r="O37" s="89">
        <f t="shared" si="6"/>
        <v>0</v>
      </c>
      <c r="P37" s="89">
        <f t="shared" si="7"/>
        <v>0</v>
      </c>
    </row>
    <row r="38" spans="1:22" ht="16.5" thickBot="1" x14ac:dyDescent="0.3">
      <c r="A38" s="228"/>
      <c r="B38" s="50" t="s">
        <v>12</v>
      </c>
      <c r="C38" s="132">
        <v>28.2</v>
      </c>
      <c r="D38" s="132">
        <v>25.2</v>
      </c>
      <c r="E38" s="132"/>
      <c r="F38" s="132"/>
      <c r="G38" s="132">
        <v>6.3</v>
      </c>
      <c r="H38" s="132">
        <v>5.3</v>
      </c>
      <c r="I38" s="132">
        <v>24</v>
      </c>
      <c r="J38" s="132">
        <v>44.7</v>
      </c>
      <c r="K38" s="132"/>
      <c r="L38" s="132"/>
      <c r="M38" s="86">
        <f t="shared" si="4"/>
        <v>6</v>
      </c>
      <c r="N38" s="86">
        <f t="shared" si="5"/>
        <v>4</v>
      </c>
      <c r="O38" s="89">
        <f t="shared" si="6"/>
        <v>44.7</v>
      </c>
      <c r="P38" s="89">
        <f t="shared" si="7"/>
        <v>133.69999999999999</v>
      </c>
    </row>
    <row r="39" spans="1:22" ht="16.5" thickBot="1" x14ac:dyDescent="0.3">
      <c r="A39" s="228"/>
      <c r="B39" s="50" t="s">
        <v>113</v>
      </c>
      <c r="C39" s="132">
        <v>11.9</v>
      </c>
      <c r="D39" s="132"/>
      <c r="E39" s="132">
        <v>28.3</v>
      </c>
      <c r="F39" s="132"/>
      <c r="G39" s="132">
        <v>27.3</v>
      </c>
      <c r="H39" s="132"/>
      <c r="I39" s="132"/>
      <c r="J39" s="132">
        <v>63.7</v>
      </c>
      <c r="K39" s="132"/>
      <c r="L39" s="132"/>
      <c r="M39" s="86">
        <f t="shared" si="4"/>
        <v>4</v>
      </c>
      <c r="N39" s="86">
        <f t="shared" si="5"/>
        <v>3</v>
      </c>
      <c r="O39" s="89">
        <f t="shared" si="6"/>
        <v>63.7</v>
      </c>
      <c r="P39" s="89">
        <f t="shared" si="7"/>
        <v>131.19999999999999</v>
      </c>
    </row>
    <row r="40" spans="1:22" ht="16.5" thickBot="1" x14ac:dyDescent="0.3">
      <c r="A40" s="228"/>
      <c r="B40" s="50" t="s">
        <v>175</v>
      </c>
      <c r="C40" s="132">
        <v>26.1</v>
      </c>
      <c r="D40" s="132">
        <v>65.400000000000006</v>
      </c>
      <c r="E40" s="132"/>
      <c r="F40" s="132"/>
      <c r="G40" s="132">
        <v>69.599999999999994</v>
      </c>
      <c r="H40" s="132"/>
      <c r="I40" s="132"/>
      <c r="J40" s="132">
        <v>44.3</v>
      </c>
      <c r="K40" s="132"/>
      <c r="L40" s="132"/>
      <c r="M40" s="86">
        <f t="shared" si="4"/>
        <v>4</v>
      </c>
      <c r="N40" s="86">
        <f t="shared" si="5"/>
        <v>4</v>
      </c>
      <c r="O40" s="89">
        <f t="shared" si="6"/>
        <v>69.599999999999994</v>
      </c>
      <c r="P40" s="89">
        <f t="shared" si="7"/>
        <v>205.39999999999998</v>
      </c>
    </row>
    <row r="41" spans="1:22" ht="16.5" thickBot="1" x14ac:dyDescent="0.3">
      <c r="A41" s="228"/>
      <c r="B41" s="50" t="s">
        <v>18</v>
      </c>
      <c r="C41" s="132"/>
      <c r="D41" s="132">
        <v>3.5</v>
      </c>
      <c r="E41" s="132"/>
      <c r="F41" s="132">
        <v>9.5</v>
      </c>
      <c r="G41" s="132">
        <v>10.5</v>
      </c>
      <c r="H41" s="132">
        <v>15.5</v>
      </c>
      <c r="I41" s="132"/>
      <c r="J41" s="132"/>
      <c r="K41" s="132">
        <v>56.5</v>
      </c>
      <c r="L41" s="132"/>
      <c r="M41" s="86">
        <f t="shared" si="4"/>
        <v>5</v>
      </c>
      <c r="N41" s="86">
        <f t="shared" si="5"/>
        <v>1</v>
      </c>
      <c r="O41" s="89">
        <f t="shared" si="6"/>
        <v>56.5</v>
      </c>
      <c r="P41" s="89">
        <f t="shared" si="7"/>
        <v>95.5</v>
      </c>
    </row>
    <row r="42" spans="1:22" ht="16.5" thickBot="1" x14ac:dyDescent="0.3">
      <c r="A42" s="229"/>
      <c r="B42" s="95" t="s">
        <v>17</v>
      </c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86">
        <f t="shared" si="4"/>
        <v>0</v>
      </c>
      <c r="N42" s="86">
        <f t="shared" si="5"/>
        <v>0</v>
      </c>
      <c r="O42" s="89">
        <f t="shared" si="6"/>
        <v>0</v>
      </c>
      <c r="P42" s="89">
        <f t="shared" si="7"/>
        <v>0</v>
      </c>
    </row>
    <row r="43" spans="1:22" ht="15.75" x14ac:dyDescent="0.25">
      <c r="B43" s="243"/>
      <c r="C43" s="243"/>
      <c r="D43" s="243"/>
      <c r="E43" s="243"/>
      <c r="F43" s="243"/>
      <c r="G43" s="243"/>
      <c r="H43" s="243"/>
      <c r="I43" s="243"/>
      <c r="J43" s="243"/>
      <c r="K43" s="243"/>
      <c r="L43" s="243"/>
      <c r="M43" s="243"/>
      <c r="N43" s="243"/>
      <c r="O43" s="32"/>
      <c r="P43" s="33"/>
    </row>
    <row r="44" spans="1:22" ht="15.75" thickBot="1" x14ac:dyDescent="0.3">
      <c r="A44" s="156"/>
      <c r="B44" s="97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6"/>
      <c r="Q44" s="76"/>
      <c r="R44" s="76"/>
      <c r="S44" s="76"/>
      <c r="T44" s="76"/>
      <c r="U44" s="76"/>
      <c r="V44" s="76"/>
    </row>
    <row r="45" spans="1:22" ht="15" customHeight="1" x14ac:dyDescent="0.25">
      <c r="A45" s="224" t="s">
        <v>1</v>
      </c>
      <c r="B45" s="252" t="s">
        <v>2</v>
      </c>
      <c r="C45" s="255" t="str">
        <f>C2</f>
        <v>HAUTEURS JOURNALIERES DE PLUIE :                                                                                                                              2ème DECADE DU MOIS DE AOUT 2025</v>
      </c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6"/>
    </row>
    <row r="46" spans="1:22" ht="15.75" customHeight="1" thickBot="1" x14ac:dyDescent="0.3">
      <c r="A46" s="225"/>
      <c r="B46" s="253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8"/>
    </row>
    <row r="47" spans="1:22" ht="23.25" customHeight="1" thickBot="1" x14ac:dyDescent="0.3">
      <c r="A47" s="225"/>
      <c r="B47" s="254"/>
      <c r="C47" s="107">
        <v>11</v>
      </c>
      <c r="D47" s="108">
        <v>12</v>
      </c>
      <c r="E47" s="108">
        <v>13</v>
      </c>
      <c r="F47" s="108">
        <v>14</v>
      </c>
      <c r="G47" s="108">
        <v>15</v>
      </c>
      <c r="H47" s="108">
        <v>16</v>
      </c>
      <c r="I47" s="108">
        <v>17</v>
      </c>
      <c r="J47" s="108">
        <v>18</v>
      </c>
      <c r="K47" s="108">
        <v>19</v>
      </c>
      <c r="L47" s="109">
        <v>20</v>
      </c>
      <c r="M47" s="110" t="s">
        <v>89</v>
      </c>
      <c r="N47" s="111" t="s">
        <v>147</v>
      </c>
      <c r="O47" s="112" t="s">
        <v>106</v>
      </c>
      <c r="P47" s="113" t="s">
        <v>0</v>
      </c>
    </row>
    <row r="48" spans="1:22" ht="16.5" customHeight="1" thickBot="1" x14ac:dyDescent="0.3">
      <c r="A48" s="259" t="s">
        <v>128</v>
      </c>
      <c r="B48" s="100" t="s">
        <v>23</v>
      </c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115">
        <f>COUNTIF(C48:L48,"&gt;0")</f>
        <v>0</v>
      </c>
      <c r="N48" s="115">
        <f>COUNTIF(C48:L48,"&gt;20")</f>
        <v>0</v>
      </c>
      <c r="O48" s="116">
        <f>MAX(C48:L48)</f>
        <v>0</v>
      </c>
      <c r="P48" s="117">
        <f>SUM(C48:L48)</f>
        <v>0</v>
      </c>
    </row>
    <row r="49" spans="1:16" ht="16.5" thickBot="1" x14ac:dyDescent="0.3">
      <c r="A49" s="260"/>
      <c r="B49" s="100" t="s">
        <v>25</v>
      </c>
      <c r="C49" s="114">
        <v>3.2</v>
      </c>
      <c r="D49" s="114"/>
      <c r="E49" s="114">
        <v>10.4</v>
      </c>
      <c r="F49" s="114"/>
      <c r="G49" s="114">
        <v>14.2</v>
      </c>
      <c r="H49" s="114"/>
      <c r="I49" s="114">
        <v>15.4</v>
      </c>
      <c r="J49" s="114">
        <v>19.899999999999999</v>
      </c>
      <c r="K49" s="114"/>
      <c r="L49" s="114"/>
      <c r="M49" s="115">
        <f t="shared" ref="M49:M72" si="8">COUNTIF(C49:L49,"&gt;0")</f>
        <v>5</v>
      </c>
      <c r="N49" s="115">
        <f t="shared" ref="N49:N72" si="9">COUNTIF(C49:L49,"&gt;20")</f>
        <v>0</v>
      </c>
      <c r="O49" s="116">
        <f t="shared" ref="O49:O72" si="10">MAX(C49:L49)</f>
        <v>19.899999999999999</v>
      </c>
      <c r="P49" s="117">
        <f t="shared" ref="P49:P72" si="11">SUM(C49:L49)</f>
        <v>63.1</v>
      </c>
    </row>
    <row r="50" spans="1:16" ht="16.5" thickBot="1" x14ac:dyDescent="0.3">
      <c r="A50" s="260"/>
      <c r="B50" s="100" t="s">
        <v>124</v>
      </c>
      <c r="C50" s="114">
        <v>16.100000000000001</v>
      </c>
      <c r="D50" s="114"/>
      <c r="E50" s="114">
        <v>17.2</v>
      </c>
      <c r="F50" s="114"/>
      <c r="G50" s="114"/>
      <c r="H50" s="114">
        <v>18.899999999999999</v>
      </c>
      <c r="I50" s="114"/>
      <c r="J50" s="114">
        <v>9.9</v>
      </c>
      <c r="K50" s="114">
        <v>5.8</v>
      </c>
      <c r="L50" s="114"/>
      <c r="M50" s="115">
        <f t="shared" si="8"/>
        <v>5</v>
      </c>
      <c r="N50" s="115">
        <f t="shared" si="9"/>
        <v>0</v>
      </c>
      <c r="O50" s="116">
        <f t="shared" si="10"/>
        <v>18.899999999999999</v>
      </c>
      <c r="P50" s="117">
        <f t="shared" si="11"/>
        <v>67.899999999999991</v>
      </c>
    </row>
    <row r="51" spans="1:16" ht="16.5" thickBot="1" x14ac:dyDescent="0.3">
      <c r="A51" s="260"/>
      <c r="B51" s="100" t="s">
        <v>125</v>
      </c>
      <c r="C51" s="114"/>
      <c r="D51" s="114"/>
      <c r="E51" s="114"/>
      <c r="F51" s="114">
        <v>1.1000000000000001</v>
      </c>
      <c r="G51" s="114">
        <v>34.200000000000003</v>
      </c>
      <c r="H51" s="114"/>
      <c r="I51" s="114">
        <v>6.6</v>
      </c>
      <c r="J51" s="114">
        <v>16.600000000000001</v>
      </c>
      <c r="K51" s="114"/>
      <c r="L51" s="114"/>
      <c r="M51" s="115">
        <f t="shared" si="8"/>
        <v>4</v>
      </c>
      <c r="N51" s="115">
        <f t="shared" si="9"/>
        <v>1</v>
      </c>
      <c r="O51" s="116">
        <f t="shared" si="10"/>
        <v>34.200000000000003</v>
      </c>
      <c r="P51" s="117">
        <f t="shared" si="11"/>
        <v>58.500000000000007</v>
      </c>
    </row>
    <row r="52" spans="1:16" ht="16.5" thickBot="1" x14ac:dyDescent="0.3">
      <c r="A52" s="260"/>
      <c r="B52" s="100" t="s">
        <v>35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5">
        <f t="shared" si="8"/>
        <v>0</v>
      </c>
      <c r="N52" s="115">
        <f t="shared" si="9"/>
        <v>0</v>
      </c>
      <c r="O52" s="116">
        <f t="shared" si="10"/>
        <v>0</v>
      </c>
      <c r="P52" s="117">
        <f t="shared" si="11"/>
        <v>0</v>
      </c>
    </row>
    <row r="53" spans="1:16" ht="16.5" thickBot="1" x14ac:dyDescent="0.3">
      <c r="A53" s="260"/>
      <c r="B53" s="118" t="s">
        <v>32</v>
      </c>
      <c r="C53" s="218">
        <v>13.6</v>
      </c>
      <c r="D53" s="218"/>
      <c r="E53" s="218">
        <v>2.4</v>
      </c>
      <c r="F53" s="218"/>
      <c r="G53" s="218">
        <v>34.6</v>
      </c>
      <c r="H53" s="218"/>
      <c r="I53" s="218">
        <v>13.4</v>
      </c>
      <c r="J53" s="218">
        <v>34.9</v>
      </c>
      <c r="K53" s="218">
        <v>2.2000000000000002</v>
      </c>
      <c r="L53" s="218"/>
      <c r="M53" s="115">
        <f t="shared" si="8"/>
        <v>6</v>
      </c>
      <c r="N53" s="115">
        <f t="shared" si="9"/>
        <v>2</v>
      </c>
      <c r="O53" s="116">
        <f t="shared" si="10"/>
        <v>34.9</v>
      </c>
      <c r="P53" s="117">
        <f t="shared" si="11"/>
        <v>101.10000000000001</v>
      </c>
    </row>
    <row r="54" spans="1:16" ht="16.5" thickBot="1" x14ac:dyDescent="0.3">
      <c r="A54" s="260"/>
      <c r="B54" s="119" t="s">
        <v>27</v>
      </c>
      <c r="C54" s="114"/>
      <c r="D54" s="114">
        <v>2.5</v>
      </c>
      <c r="E54" s="114"/>
      <c r="F54" s="114"/>
      <c r="G54" s="114"/>
      <c r="H54" s="114">
        <v>22.2</v>
      </c>
      <c r="I54" s="114"/>
      <c r="J54" s="114"/>
      <c r="K54" s="114">
        <v>29.4</v>
      </c>
      <c r="L54" s="114"/>
      <c r="M54" s="115">
        <f t="shared" si="8"/>
        <v>3</v>
      </c>
      <c r="N54" s="115">
        <f t="shared" si="9"/>
        <v>2</v>
      </c>
      <c r="O54" s="116">
        <f t="shared" si="10"/>
        <v>29.4</v>
      </c>
      <c r="P54" s="117">
        <f t="shared" si="11"/>
        <v>54.099999999999994</v>
      </c>
    </row>
    <row r="55" spans="1:16" ht="16.5" thickBot="1" x14ac:dyDescent="0.3">
      <c r="A55" s="260"/>
      <c r="B55" s="100" t="s">
        <v>28</v>
      </c>
      <c r="C55" s="114"/>
      <c r="D55" s="114"/>
      <c r="E55" s="114"/>
      <c r="F55" s="114"/>
      <c r="G55" s="114"/>
      <c r="H55" s="114"/>
      <c r="I55" s="114"/>
      <c r="J55" s="114"/>
      <c r="K55" s="114"/>
      <c r="L55" s="114"/>
      <c r="M55" s="115">
        <f t="shared" si="8"/>
        <v>0</v>
      </c>
      <c r="N55" s="115">
        <f t="shared" si="9"/>
        <v>0</v>
      </c>
      <c r="O55" s="116">
        <f t="shared" si="10"/>
        <v>0</v>
      </c>
      <c r="P55" s="117">
        <f t="shared" si="11"/>
        <v>0</v>
      </c>
    </row>
    <row r="56" spans="1:16" ht="16.5" thickBot="1" x14ac:dyDescent="0.3">
      <c r="A56" s="260"/>
      <c r="B56" s="151" t="s">
        <v>177</v>
      </c>
      <c r="C56" s="114"/>
      <c r="D56" s="114">
        <v>26.1</v>
      </c>
      <c r="E56" s="114"/>
      <c r="F56" s="114"/>
      <c r="G56" s="114"/>
      <c r="H56" s="114">
        <v>14</v>
      </c>
      <c r="I56" s="114">
        <v>0.5</v>
      </c>
      <c r="J56" s="114"/>
      <c r="K56" s="114">
        <v>75</v>
      </c>
      <c r="L56" s="114">
        <v>2</v>
      </c>
      <c r="M56" s="115">
        <f t="shared" ref="M56" si="12">COUNTIF(C56:L56,"&gt;0")</f>
        <v>5</v>
      </c>
      <c r="N56" s="115">
        <f t="shared" ref="N56" si="13">COUNTIF(C56:L56,"&gt;20")</f>
        <v>2</v>
      </c>
      <c r="O56" s="116">
        <f t="shared" ref="O56" si="14">MAX(C56:L56)</f>
        <v>75</v>
      </c>
      <c r="P56" s="117">
        <f t="shared" ref="P56" si="15">SUM(C56:L56)</f>
        <v>117.6</v>
      </c>
    </row>
    <row r="57" spans="1:16" ht="16.5" thickBot="1" x14ac:dyDescent="0.3">
      <c r="A57" s="260"/>
      <c r="B57" s="140" t="s">
        <v>34</v>
      </c>
      <c r="C57" s="114"/>
      <c r="D57" s="114">
        <v>6</v>
      </c>
      <c r="E57" s="114">
        <v>9.6999999999999993</v>
      </c>
      <c r="F57" s="114"/>
      <c r="G57" s="114">
        <v>19.399999999999999</v>
      </c>
      <c r="H57" s="114"/>
      <c r="I57" s="114">
        <v>27.6</v>
      </c>
      <c r="J57" s="114">
        <v>5.4</v>
      </c>
      <c r="K57" s="114"/>
      <c r="L57" s="114"/>
      <c r="M57" s="115">
        <f t="shared" si="8"/>
        <v>5</v>
      </c>
      <c r="N57" s="115">
        <f t="shared" si="9"/>
        <v>1</v>
      </c>
      <c r="O57" s="116">
        <f t="shared" si="10"/>
        <v>27.6</v>
      </c>
      <c r="P57" s="117">
        <f t="shared" si="11"/>
        <v>68.099999999999994</v>
      </c>
    </row>
    <row r="58" spans="1:16" ht="16.5" thickBot="1" x14ac:dyDescent="0.3">
      <c r="A58" s="260"/>
      <c r="B58" s="100" t="s">
        <v>83</v>
      </c>
      <c r="C58" s="114"/>
      <c r="D58" s="114"/>
      <c r="E58" s="114"/>
      <c r="F58" s="114"/>
      <c r="G58" s="114"/>
      <c r="H58" s="114"/>
      <c r="I58" s="114"/>
      <c r="J58" s="114"/>
      <c r="K58" s="114"/>
      <c r="L58" s="114"/>
      <c r="M58" s="115">
        <f t="shared" si="8"/>
        <v>0</v>
      </c>
      <c r="N58" s="115">
        <f t="shared" si="9"/>
        <v>0</v>
      </c>
      <c r="O58" s="116">
        <f t="shared" si="10"/>
        <v>0</v>
      </c>
      <c r="P58" s="117">
        <f t="shared" si="11"/>
        <v>0</v>
      </c>
    </row>
    <row r="59" spans="1:16" ht="16.5" thickBot="1" x14ac:dyDescent="0.3">
      <c r="A59" s="260"/>
      <c r="B59" s="100" t="s">
        <v>178</v>
      </c>
      <c r="C59" s="114"/>
      <c r="D59" s="114">
        <v>27.3</v>
      </c>
      <c r="E59" s="114"/>
      <c r="F59" s="114"/>
      <c r="G59" s="114"/>
      <c r="H59" s="114">
        <v>4.7</v>
      </c>
      <c r="I59" s="114">
        <v>45.7</v>
      </c>
      <c r="J59" s="114"/>
      <c r="K59" s="114">
        <v>27</v>
      </c>
      <c r="L59" s="114"/>
      <c r="M59" s="115">
        <f t="shared" ref="M59" si="16">COUNTIF(C59:L59,"&gt;0")</f>
        <v>4</v>
      </c>
      <c r="N59" s="115">
        <f t="shared" ref="N59" si="17">COUNTIF(C59:L59,"&gt;20")</f>
        <v>3</v>
      </c>
      <c r="O59" s="116">
        <f t="shared" ref="O59" si="18">MAX(C59:L59)</f>
        <v>45.7</v>
      </c>
      <c r="P59" s="117">
        <f t="shared" ref="P59" si="19">SUM(C59:L59)</f>
        <v>104.7</v>
      </c>
    </row>
    <row r="60" spans="1:16" ht="16.5" thickBot="1" x14ac:dyDescent="0.3">
      <c r="A60" s="260"/>
      <c r="B60" s="100" t="s">
        <v>26</v>
      </c>
      <c r="C60" s="114">
        <v>21.6</v>
      </c>
      <c r="D60" s="114"/>
      <c r="E60" s="114">
        <v>9.1</v>
      </c>
      <c r="F60" s="114"/>
      <c r="G60" s="114">
        <v>35.799999999999997</v>
      </c>
      <c r="H60" s="114">
        <v>17</v>
      </c>
      <c r="I60" s="114">
        <v>37.299999999999997</v>
      </c>
      <c r="J60" s="114"/>
      <c r="K60" s="114"/>
      <c r="L60" s="114"/>
      <c r="M60" s="115">
        <f t="shared" si="8"/>
        <v>5</v>
      </c>
      <c r="N60" s="115">
        <f t="shared" si="9"/>
        <v>3</v>
      </c>
      <c r="O60" s="116">
        <f t="shared" si="10"/>
        <v>37.299999999999997</v>
      </c>
      <c r="P60" s="117">
        <f t="shared" si="11"/>
        <v>120.8</v>
      </c>
    </row>
    <row r="61" spans="1:16" ht="16.5" thickBot="1" x14ac:dyDescent="0.3">
      <c r="A61" s="260"/>
      <c r="B61" s="100" t="s">
        <v>36</v>
      </c>
      <c r="C61" s="114"/>
      <c r="D61" s="114"/>
      <c r="E61" s="114"/>
      <c r="F61" s="114"/>
      <c r="G61" s="114">
        <v>20.8</v>
      </c>
      <c r="H61" s="114">
        <v>6.9</v>
      </c>
      <c r="I61" s="114"/>
      <c r="J61" s="114">
        <v>24.2</v>
      </c>
      <c r="K61" s="114"/>
      <c r="L61" s="114"/>
      <c r="M61" s="115">
        <f t="shared" si="8"/>
        <v>3</v>
      </c>
      <c r="N61" s="115">
        <f t="shared" si="9"/>
        <v>2</v>
      </c>
      <c r="O61" s="116">
        <f t="shared" si="10"/>
        <v>24.2</v>
      </c>
      <c r="P61" s="117">
        <f t="shared" si="11"/>
        <v>51.900000000000006</v>
      </c>
    </row>
    <row r="62" spans="1:16" ht="16.5" thickBot="1" x14ac:dyDescent="0.3">
      <c r="A62" s="260"/>
      <c r="B62" s="100" t="s">
        <v>30</v>
      </c>
      <c r="C62" s="114">
        <v>32.200000000000003</v>
      </c>
      <c r="D62" s="114"/>
      <c r="E62" s="114">
        <v>3.3</v>
      </c>
      <c r="F62" s="114"/>
      <c r="G62" s="114">
        <v>40</v>
      </c>
      <c r="H62" s="114"/>
      <c r="I62" s="114"/>
      <c r="J62" s="114">
        <v>59.6</v>
      </c>
      <c r="K62" s="114"/>
      <c r="L62" s="114"/>
      <c r="M62" s="115">
        <f t="shared" si="8"/>
        <v>4</v>
      </c>
      <c r="N62" s="115">
        <f t="shared" si="9"/>
        <v>3</v>
      </c>
      <c r="O62" s="116">
        <f t="shared" si="10"/>
        <v>59.6</v>
      </c>
      <c r="P62" s="117">
        <f t="shared" si="11"/>
        <v>135.1</v>
      </c>
    </row>
    <row r="63" spans="1:16" ht="16.5" thickBot="1" x14ac:dyDescent="0.3">
      <c r="A63" s="260"/>
      <c r="B63" s="118" t="s">
        <v>31</v>
      </c>
      <c r="C63" s="114">
        <v>63.5</v>
      </c>
      <c r="D63" s="114"/>
      <c r="E63" s="114"/>
      <c r="F63" s="114"/>
      <c r="G63" s="114">
        <v>18.5</v>
      </c>
      <c r="H63" s="114"/>
      <c r="I63" s="114"/>
      <c r="J63" s="114">
        <v>54.5</v>
      </c>
      <c r="K63" s="114"/>
      <c r="L63" s="114"/>
      <c r="M63" s="115">
        <f t="shared" si="8"/>
        <v>3</v>
      </c>
      <c r="N63" s="115">
        <f t="shared" si="9"/>
        <v>2</v>
      </c>
      <c r="O63" s="116">
        <f t="shared" si="10"/>
        <v>63.5</v>
      </c>
      <c r="P63" s="117">
        <f t="shared" si="11"/>
        <v>136.5</v>
      </c>
    </row>
    <row r="64" spans="1:16" ht="16.5" thickBot="1" x14ac:dyDescent="0.3">
      <c r="A64" s="260"/>
      <c r="B64" s="100" t="s">
        <v>29</v>
      </c>
      <c r="C64" s="114"/>
      <c r="D64" s="114"/>
      <c r="E64" s="114">
        <v>1</v>
      </c>
      <c r="F64" s="114"/>
      <c r="G64" s="114">
        <v>5.5</v>
      </c>
      <c r="H64" s="114">
        <v>43.9</v>
      </c>
      <c r="I64" s="114"/>
      <c r="J64" s="114"/>
      <c r="K64" s="114">
        <v>73.2</v>
      </c>
      <c r="L64" s="114"/>
      <c r="M64" s="115">
        <f t="shared" si="8"/>
        <v>4</v>
      </c>
      <c r="N64" s="115">
        <f t="shared" si="9"/>
        <v>2</v>
      </c>
      <c r="O64" s="116">
        <f t="shared" si="10"/>
        <v>73.2</v>
      </c>
      <c r="P64" s="117">
        <f t="shared" si="11"/>
        <v>123.6</v>
      </c>
    </row>
    <row r="65" spans="1:22" ht="16.5" thickBot="1" x14ac:dyDescent="0.3">
      <c r="A65" s="260"/>
      <c r="B65" s="100" t="s">
        <v>24</v>
      </c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5">
        <f t="shared" si="8"/>
        <v>0</v>
      </c>
      <c r="N65" s="115">
        <f t="shared" si="9"/>
        <v>0</v>
      </c>
      <c r="O65" s="116">
        <f t="shared" si="10"/>
        <v>0</v>
      </c>
      <c r="P65" s="117">
        <f t="shared" si="11"/>
        <v>0</v>
      </c>
    </row>
    <row r="66" spans="1:22" s="154" customFormat="1" ht="16.5" thickBot="1" x14ac:dyDescent="0.3">
      <c r="A66" s="260"/>
      <c r="B66" s="100" t="s">
        <v>33</v>
      </c>
      <c r="C66" s="218">
        <v>25.1</v>
      </c>
      <c r="D66" s="218"/>
      <c r="E66" s="218"/>
      <c r="F66" s="218"/>
      <c r="G66" s="218">
        <v>22.4</v>
      </c>
      <c r="H66" s="218">
        <v>2.2000000000000002</v>
      </c>
      <c r="I66" s="218"/>
      <c r="J66" s="218">
        <v>32.200000000000003</v>
      </c>
      <c r="K66" s="218">
        <v>4.8</v>
      </c>
      <c r="L66" s="218"/>
      <c r="M66" s="115">
        <f t="shared" si="8"/>
        <v>5</v>
      </c>
      <c r="N66" s="115">
        <f t="shared" si="9"/>
        <v>3</v>
      </c>
      <c r="O66" s="116">
        <f t="shared" si="10"/>
        <v>32.200000000000003</v>
      </c>
      <c r="P66" s="117">
        <f t="shared" si="11"/>
        <v>86.7</v>
      </c>
    </row>
    <row r="67" spans="1:22" s="154" customFormat="1" ht="16.5" thickBot="1" x14ac:dyDescent="0.3">
      <c r="A67" s="260"/>
      <c r="B67" s="151" t="s">
        <v>176</v>
      </c>
      <c r="C67" s="218">
        <v>9.4</v>
      </c>
      <c r="D67" s="218">
        <v>14.5</v>
      </c>
      <c r="E67" s="218">
        <v>0.6</v>
      </c>
      <c r="F67" s="218"/>
      <c r="G67" s="218">
        <v>118</v>
      </c>
      <c r="H67" s="218">
        <v>9.6</v>
      </c>
      <c r="I67" s="218"/>
      <c r="J67" s="218">
        <v>29.5</v>
      </c>
      <c r="K67" s="218">
        <v>4.8</v>
      </c>
      <c r="L67" s="218"/>
      <c r="M67" s="115">
        <f t="shared" ref="M67" si="20">COUNTIF(C67:L67,"&gt;0")</f>
        <v>7</v>
      </c>
      <c r="N67" s="115">
        <f t="shared" ref="N67" si="21">COUNTIF(C67:L67,"&gt;20")</f>
        <v>2</v>
      </c>
      <c r="O67" s="116">
        <f t="shared" ref="O67" si="22">MAX(C67:L67)</f>
        <v>118</v>
      </c>
      <c r="P67" s="117">
        <f t="shared" ref="P67" si="23">SUM(C67:L67)</f>
        <v>186.4</v>
      </c>
    </row>
    <row r="68" spans="1:22" ht="16.5" thickBot="1" x14ac:dyDescent="0.3">
      <c r="A68" s="260"/>
      <c r="B68" s="120" t="s">
        <v>37</v>
      </c>
      <c r="C68" s="114"/>
      <c r="D68" s="114"/>
      <c r="E68" s="114"/>
      <c r="F68" s="114"/>
      <c r="G68" s="114"/>
      <c r="H68" s="114">
        <v>43.3</v>
      </c>
      <c r="I68" s="114">
        <v>35.700000000000003</v>
      </c>
      <c r="J68" s="114"/>
      <c r="K68" s="114">
        <v>3.6</v>
      </c>
      <c r="L68" s="114"/>
      <c r="M68" s="115">
        <f t="shared" si="8"/>
        <v>3</v>
      </c>
      <c r="N68" s="115">
        <f t="shared" si="9"/>
        <v>2</v>
      </c>
      <c r="O68" s="116">
        <f t="shared" si="10"/>
        <v>43.3</v>
      </c>
      <c r="P68" s="117">
        <f t="shared" si="11"/>
        <v>82.6</v>
      </c>
    </row>
    <row r="69" spans="1:22" ht="30.75" customHeight="1" thickBot="1" x14ac:dyDescent="0.3">
      <c r="A69" s="260"/>
      <c r="B69" s="120" t="s">
        <v>148</v>
      </c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5">
        <f t="shared" si="8"/>
        <v>0</v>
      </c>
      <c r="N69" s="115">
        <f t="shared" si="9"/>
        <v>0</v>
      </c>
      <c r="O69" s="116">
        <f t="shared" si="10"/>
        <v>0</v>
      </c>
      <c r="P69" s="117">
        <f t="shared" si="11"/>
        <v>0</v>
      </c>
    </row>
    <row r="70" spans="1:22" ht="16.5" thickBot="1" x14ac:dyDescent="0.3">
      <c r="A70" s="260"/>
      <c r="B70" s="120" t="s">
        <v>149</v>
      </c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5">
        <f t="shared" si="8"/>
        <v>0</v>
      </c>
      <c r="N70" s="115">
        <f t="shared" si="9"/>
        <v>0</v>
      </c>
      <c r="O70" s="116">
        <f t="shared" si="10"/>
        <v>0</v>
      </c>
      <c r="P70" s="117">
        <f t="shared" si="11"/>
        <v>0</v>
      </c>
    </row>
    <row r="71" spans="1:22" ht="16.5" thickBot="1" x14ac:dyDescent="0.3">
      <c r="A71" s="260"/>
      <c r="B71" s="120" t="s">
        <v>150</v>
      </c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5">
        <f t="shared" si="8"/>
        <v>0</v>
      </c>
      <c r="N71" s="115">
        <f t="shared" si="9"/>
        <v>0</v>
      </c>
      <c r="O71" s="116">
        <f t="shared" si="10"/>
        <v>0</v>
      </c>
      <c r="P71" s="117">
        <f t="shared" si="11"/>
        <v>0</v>
      </c>
    </row>
    <row r="72" spans="1:22" ht="32.25" thickBot="1" x14ac:dyDescent="0.3">
      <c r="A72" s="261"/>
      <c r="B72" s="120" t="s">
        <v>151</v>
      </c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5">
        <f t="shared" si="8"/>
        <v>0</v>
      </c>
      <c r="N72" s="115">
        <f t="shared" si="9"/>
        <v>0</v>
      </c>
      <c r="O72" s="116">
        <f t="shared" si="10"/>
        <v>0</v>
      </c>
      <c r="P72" s="117">
        <f t="shared" si="11"/>
        <v>0</v>
      </c>
    </row>
    <row r="73" spans="1:22" ht="15.75" x14ac:dyDescent="0.25">
      <c r="B73" s="243"/>
      <c r="C73" s="243"/>
      <c r="D73" s="243"/>
      <c r="E73" s="243"/>
      <c r="F73" s="243"/>
      <c r="G73" s="243"/>
      <c r="H73" s="243"/>
      <c r="I73" s="243"/>
      <c r="J73" s="243"/>
      <c r="K73" s="243"/>
      <c r="L73" s="243"/>
      <c r="M73" s="243"/>
      <c r="N73" s="243"/>
      <c r="O73" s="243"/>
      <c r="P73" s="243"/>
    </row>
    <row r="74" spans="1:22" ht="15.75" thickBot="1" x14ac:dyDescent="0.3">
      <c r="A74" s="156"/>
      <c r="B74" s="97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7"/>
      <c r="P74" s="76"/>
      <c r="Q74" s="76"/>
      <c r="R74" s="76"/>
      <c r="S74" s="76"/>
      <c r="T74" s="76"/>
      <c r="U74" s="76"/>
      <c r="V74" s="76"/>
    </row>
    <row r="75" spans="1:22" ht="15" customHeight="1" x14ac:dyDescent="0.25">
      <c r="A75" s="224" t="s">
        <v>1</v>
      </c>
      <c r="B75" s="240" t="s">
        <v>2</v>
      </c>
      <c r="C75" s="234" t="str">
        <f>C2</f>
        <v>HAUTEURS JOURNALIERES DE PLUIE :                                                                                                                              2ème DECADE DU MOIS DE AOUT 2025</v>
      </c>
      <c r="D75" s="234"/>
      <c r="E75" s="234"/>
      <c r="F75" s="234"/>
      <c r="G75" s="234"/>
      <c r="H75" s="234"/>
      <c r="I75" s="234"/>
      <c r="J75" s="234"/>
      <c r="K75" s="234"/>
      <c r="L75" s="234"/>
      <c r="M75" s="234"/>
      <c r="N75" s="234"/>
      <c r="O75" s="234"/>
      <c r="P75" s="235"/>
    </row>
    <row r="76" spans="1:22" ht="15.75" customHeight="1" thickBot="1" x14ac:dyDescent="0.3">
      <c r="A76" s="225"/>
      <c r="B76" s="241"/>
      <c r="C76" s="237"/>
      <c r="D76" s="237"/>
      <c r="E76" s="237"/>
      <c r="F76" s="237"/>
      <c r="G76" s="237"/>
      <c r="H76" s="237"/>
      <c r="I76" s="237"/>
      <c r="J76" s="237"/>
      <c r="K76" s="237"/>
      <c r="L76" s="237"/>
      <c r="M76" s="237"/>
      <c r="N76" s="237"/>
      <c r="O76" s="237"/>
      <c r="P76" s="238"/>
    </row>
    <row r="77" spans="1:22" ht="21.75" customHeight="1" thickBot="1" x14ac:dyDescent="0.3">
      <c r="A77" s="226"/>
      <c r="B77" s="242"/>
      <c r="C77" s="51">
        <v>11</v>
      </c>
      <c r="D77" s="52">
        <v>12</v>
      </c>
      <c r="E77" s="52">
        <v>13</v>
      </c>
      <c r="F77" s="52">
        <v>14</v>
      </c>
      <c r="G77" s="52">
        <v>15</v>
      </c>
      <c r="H77" s="52">
        <v>16</v>
      </c>
      <c r="I77" s="52">
        <v>17</v>
      </c>
      <c r="J77" s="52">
        <v>18</v>
      </c>
      <c r="K77" s="52">
        <v>19</v>
      </c>
      <c r="L77" s="53">
        <v>20</v>
      </c>
      <c r="M77" s="54" t="s">
        <v>89</v>
      </c>
      <c r="N77" s="11" t="s">
        <v>105</v>
      </c>
      <c r="O77" s="59" t="s">
        <v>106</v>
      </c>
      <c r="P77" s="6" t="s">
        <v>0</v>
      </c>
    </row>
    <row r="78" spans="1:22" ht="16.5" customHeight="1" thickBot="1" x14ac:dyDescent="0.3">
      <c r="A78" s="222" t="s">
        <v>129</v>
      </c>
      <c r="B78" s="50" t="s">
        <v>38</v>
      </c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29">
        <f>COUNTIF(C78:L78,"&gt;0")</f>
        <v>0</v>
      </c>
      <c r="N78" s="29">
        <f>COUNTIF(C78:L78,"&gt;20")</f>
        <v>0</v>
      </c>
      <c r="O78" s="7">
        <f>MAX(C78:L78)</f>
        <v>0</v>
      </c>
      <c r="P78" s="31">
        <f>SUM(C78:L78)</f>
        <v>0</v>
      </c>
    </row>
    <row r="79" spans="1:22" ht="16.5" customHeight="1" thickBot="1" x14ac:dyDescent="0.3">
      <c r="A79" s="223"/>
      <c r="B79" s="50" t="s">
        <v>120</v>
      </c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29">
        <f t="shared" ref="M79:M94" si="24">COUNTIF(C79:L79,"&gt;0")</f>
        <v>0</v>
      </c>
      <c r="N79" s="29">
        <f t="shared" ref="N79:N94" si="25">COUNTIF(C79:L79,"&gt;20")</f>
        <v>0</v>
      </c>
      <c r="O79" s="7">
        <f t="shared" ref="O79:O94" si="26">MAX(C79:L79)</f>
        <v>0</v>
      </c>
      <c r="P79" s="31">
        <f t="shared" ref="P79:P94" si="27">SUM(C79:L79)</f>
        <v>0</v>
      </c>
    </row>
    <row r="80" spans="1:22" ht="16.5" thickBot="1" x14ac:dyDescent="0.3">
      <c r="A80" s="223"/>
      <c r="B80" s="50" t="s">
        <v>121</v>
      </c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29">
        <f t="shared" si="24"/>
        <v>0</v>
      </c>
      <c r="N80" s="29">
        <f t="shared" si="25"/>
        <v>0</v>
      </c>
      <c r="O80" s="7">
        <f t="shared" si="26"/>
        <v>0</v>
      </c>
      <c r="P80" s="31">
        <f t="shared" si="27"/>
        <v>0</v>
      </c>
    </row>
    <row r="81" spans="1:22" ht="16.5" thickBot="1" x14ac:dyDescent="0.3">
      <c r="A81" s="223"/>
      <c r="B81" s="141" t="s">
        <v>40</v>
      </c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29">
        <f t="shared" si="24"/>
        <v>0</v>
      </c>
      <c r="N81" s="29">
        <f t="shared" si="25"/>
        <v>0</v>
      </c>
      <c r="O81" s="7">
        <f t="shared" si="26"/>
        <v>0</v>
      </c>
      <c r="P81" s="31">
        <f t="shared" si="27"/>
        <v>0</v>
      </c>
    </row>
    <row r="82" spans="1:22" ht="16.5" thickBot="1" x14ac:dyDescent="0.3">
      <c r="A82" s="223"/>
      <c r="B82" s="96" t="s">
        <v>152</v>
      </c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29">
        <f t="shared" si="24"/>
        <v>0</v>
      </c>
      <c r="N82" s="29">
        <f t="shared" si="25"/>
        <v>0</v>
      </c>
      <c r="O82" s="7">
        <f t="shared" si="26"/>
        <v>0</v>
      </c>
      <c r="P82" s="31">
        <f t="shared" si="27"/>
        <v>0</v>
      </c>
    </row>
    <row r="83" spans="1:22" ht="16.5" thickBot="1" x14ac:dyDescent="0.3">
      <c r="A83" s="223"/>
      <c r="B83" s="96" t="s">
        <v>153</v>
      </c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29">
        <f t="shared" si="24"/>
        <v>0</v>
      </c>
      <c r="N83" s="29">
        <f t="shared" si="25"/>
        <v>0</v>
      </c>
      <c r="O83" s="7">
        <f t="shared" si="26"/>
        <v>0</v>
      </c>
      <c r="P83" s="31">
        <f t="shared" si="27"/>
        <v>0</v>
      </c>
    </row>
    <row r="84" spans="1:22" ht="16.5" thickBot="1" x14ac:dyDescent="0.3">
      <c r="A84" s="223"/>
      <c r="B84" s="101" t="s">
        <v>39</v>
      </c>
      <c r="C84" s="105">
        <v>0.3</v>
      </c>
      <c r="D84" s="105"/>
      <c r="E84" s="105"/>
      <c r="F84" s="105"/>
      <c r="G84" s="105"/>
      <c r="H84" s="105"/>
      <c r="I84" s="105">
        <v>0.6</v>
      </c>
      <c r="J84" s="105"/>
      <c r="K84" s="105">
        <v>0.7</v>
      </c>
      <c r="L84" s="105"/>
      <c r="M84" s="29">
        <f t="shared" si="24"/>
        <v>3</v>
      </c>
      <c r="N84" s="29">
        <f t="shared" si="25"/>
        <v>0</v>
      </c>
      <c r="O84" s="7">
        <f t="shared" si="26"/>
        <v>0.7</v>
      </c>
      <c r="P84" s="31">
        <f t="shared" si="27"/>
        <v>1.5999999999999999</v>
      </c>
    </row>
    <row r="85" spans="1:22" ht="16.5" thickBot="1" x14ac:dyDescent="0.3">
      <c r="A85" s="223"/>
      <c r="B85" s="95" t="s">
        <v>42</v>
      </c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29">
        <f t="shared" si="24"/>
        <v>0</v>
      </c>
      <c r="N85" s="29">
        <f t="shared" si="25"/>
        <v>0</v>
      </c>
      <c r="O85" s="7">
        <f t="shared" si="26"/>
        <v>0</v>
      </c>
      <c r="P85" s="31">
        <f t="shared" si="27"/>
        <v>0</v>
      </c>
    </row>
    <row r="86" spans="1:22" ht="16.5" thickBot="1" x14ac:dyDescent="0.3">
      <c r="A86" s="223"/>
      <c r="B86" s="142" t="s">
        <v>43</v>
      </c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29">
        <f t="shared" si="24"/>
        <v>0</v>
      </c>
      <c r="N86" s="29">
        <f t="shared" si="25"/>
        <v>0</v>
      </c>
      <c r="O86" s="7">
        <f t="shared" si="26"/>
        <v>0</v>
      </c>
      <c r="P86" s="31">
        <f t="shared" si="27"/>
        <v>0</v>
      </c>
    </row>
    <row r="87" spans="1:22" ht="16.5" thickBot="1" x14ac:dyDescent="0.3">
      <c r="A87" s="223"/>
      <c r="B87" s="50" t="s">
        <v>45</v>
      </c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29">
        <f t="shared" si="24"/>
        <v>0</v>
      </c>
      <c r="N87" s="29">
        <f t="shared" si="25"/>
        <v>0</v>
      </c>
      <c r="O87" s="7">
        <f t="shared" si="26"/>
        <v>0</v>
      </c>
      <c r="P87" s="31">
        <f t="shared" si="27"/>
        <v>0</v>
      </c>
    </row>
    <row r="88" spans="1:22" ht="16.5" thickBot="1" x14ac:dyDescent="0.3">
      <c r="A88" s="223"/>
      <c r="B88" s="50" t="s">
        <v>44</v>
      </c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29">
        <f t="shared" si="24"/>
        <v>0</v>
      </c>
      <c r="N88" s="29">
        <f t="shared" si="25"/>
        <v>0</v>
      </c>
      <c r="O88" s="7">
        <f t="shared" si="26"/>
        <v>0</v>
      </c>
      <c r="P88" s="31">
        <f t="shared" si="27"/>
        <v>0</v>
      </c>
    </row>
    <row r="89" spans="1:22" ht="16.5" thickBot="1" x14ac:dyDescent="0.3">
      <c r="A89" s="223"/>
      <c r="B89" s="50" t="s">
        <v>41</v>
      </c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29">
        <f t="shared" si="24"/>
        <v>0</v>
      </c>
      <c r="N89" s="29">
        <f t="shared" si="25"/>
        <v>0</v>
      </c>
      <c r="O89" s="7">
        <f t="shared" si="26"/>
        <v>0</v>
      </c>
      <c r="P89" s="31">
        <f t="shared" si="27"/>
        <v>0</v>
      </c>
    </row>
    <row r="90" spans="1:22" ht="16.5" thickBot="1" x14ac:dyDescent="0.3">
      <c r="A90" s="223"/>
      <c r="B90" s="50" t="s">
        <v>46</v>
      </c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29">
        <f t="shared" si="24"/>
        <v>0</v>
      </c>
      <c r="N90" s="29">
        <f t="shared" si="25"/>
        <v>0</v>
      </c>
      <c r="O90" s="7">
        <f t="shared" si="26"/>
        <v>0</v>
      </c>
      <c r="P90" s="31">
        <f t="shared" si="27"/>
        <v>0</v>
      </c>
    </row>
    <row r="91" spans="1:22" ht="16.5" thickBot="1" x14ac:dyDescent="0.3">
      <c r="A91" s="223"/>
      <c r="B91" s="50" t="s">
        <v>122</v>
      </c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29">
        <f t="shared" si="24"/>
        <v>0</v>
      </c>
      <c r="N91" s="29">
        <f t="shared" si="25"/>
        <v>0</v>
      </c>
      <c r="O91" s="7">
        <f t="shared" si="26"/>
        <v>0</v>
      </c>
      <c r="P91" s="31">
        <f t="shared" si="27"/>
        <v>0</v>
      </c>
    </row>
    <row r="92" spans="1:22" ht="16.5" thickBot="1" x14ac:dyDescent="0.3">
      <c r="A92" s="223"/>
      <c r="B92" s="50" t="s">
        <v>123</v>
      </c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29">
        <f t="shared" si="24"/>
        <v>0</v>
      </c>
      <c r="N92" s="29">
        <f t="shared" si="25"/>
        <v>0</v>
      </c>
      <c r="O92" s="7">
        <f t="shared" si="26"/>
        <v>0</v>
      </c>
      <c r="P92" s="31">
        <f t="shared" si="27"/>
        <v>0</v>
      </c>
    </row>
    <row r="93" spans="1:22" ht="16.5" thickBot="1" x14ac:dyDescent="0.3">
      <c r="A93" s="223"/>
      <c r="B93" s="50" t="s">
        <v>143</v>
      </c>
      <c r="C93" s="105"/>
      <c r="D93" s="105"/>
      <c r="E93" s="105"/>
      <c r="F93" s="105"/>
      <c r="G93" s="105"/>
      <c r="H93" s="105"/>
      <c r="I93" s="105"/>
      <c r="J93" s="105"/>
      <c r="K93" s="105">
        <v>0.4</v>
      </c>
      <c r="L93" s="105"/>
      <c r="M93" s="29">
        <f t="shared" si="24"/>
        <v>1</v>
      </c>
      <c r="N93" s="29">
        <f t="shared" si="25"/>
        <v>0</v>
      </c>
      <c r="O93" s="7">
        <f t="shared" si="26"/>
        <v>0.4</v>
      </c>
      <c r="P93" s="31">
        <f t="shared" si="27"/>
        <v>0.4</v>
      </c>
    </row>
    <row r="94" spans="1:22" ht="16.5" thickBot="1" x14ac:dyDescent="0.3">
      <c r="A94" s="262"/>
      <c r="B94" s="50" t="s">
        <v>145</v>
      </c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29">
        <f t="shared" si="24"/>
        <v>0</v>
      </c>
      <c r="N94" s="29">
        <f t="shared" si="25"/>
        <v>0</v>
      </c>
      <c r="O94" s="7">
        <f t="shared" si="26"/>
        <v>0</v>
      </c>
      <c r="P94" s="31">
        <f t="shared" si="27"/>
        <v>0</v>
      </c>
    </row>
    <row r="95" spans="1:22" ht="15.75" thickBot="1" x14ac:dyDescent="0.3">
      <c r="A95" s="156"/>
      <c r="B95" s="97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7"/>
      <c r="P95" s="76"/>
      <c r="Q95" s="76"/>
      <c r="R95" s="76"/>
      <c r="S95" s="76"/>
      <c r="T95" s="76"/>
      <c r="U95" s="76"/>
      <c r="V95" s="76"/>
    </row>
    <row r="96" spans="1:22" ht="15" customHeight="1" x14ac:dyDescent="0.25">
      <c r="A96" s="224" t="s">
        <v>1</v>
      </c>
      <c r="B96" s="240" t="s">
        <v>2</v>
      </c>
      <c r="C96" s="234" t="str">
        <f>C2</f>
        <v>HAUTEURS JOURNALIERES DE PLUIE :                                                                                                                              2ème DECADE DU MOIS DE AOUT 2025</v>
      </c>
      <c r="D96" s="234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5"/>
    </row>
    <row r="97" spans="1:16" ht="15.75" customHeight="1" thickBot="1" x14ac:dyDescent="0.3">
      <c r="A97" s="225"/>
      <c r="B97" s="241"/>
      <c r="C97" s="237"/>
      <c r="D97" s="237"/>
      <c r="E97" s="237"/>
      <c r="F97" s="237"/>
      <c r="G97" s="237"/>
      <c r="H97" s="237"/>
      <c r="I97" s="237"/>
      <c r="J97" s="237"/>
      <c r="K97" s="237"/>
      <c r="L97" s="237"/>
      <c r="M97" s="237"/>
      <c r="N97" s="237"/>
      <c r="O97" s="237"/>
      <c r="P97" s="238"/>
    </row>
    <row r="98" spans="1:16" ht="24" customHeight="1" thickBot="1" x14ac:dyDescent="0.3">
      <c r="A98" s="225"/>
      <c r="B98" s="242"/>
      <c r="C98" s="51">
        <v>11</v>
      </c>
      <c r="D98" s="52">
        <v>12</v>
      </c>
      <c r="E98" s="52">
        <v>13</v>
      </c>
      <c r="F98" s="52">
        <v>14</v>
      </c>
      <c r="G98" s="52">
        <v>15</v>
      </c>
      <c r="H98" s="52">
        <v>16</v>
      </c>
      <c r="I98" s="52">
        <v>17</v>
      </c>
      <c r="J98" s="52">
        <v>18</v>
      </c>
      <c r="K98" s="52">
        <v>19</v>
      </c>
      <c r="L98" s="53">
        <v>20</v>
      </c>
      <c r="M98" s="54" t="s">
        <v>89</v>
      </c>
      <c r="N98" s="54" t="s">
        <v>105</v>
      </c>
      <c r="O98" s="58" t="s">
        <v>106</v>
      </c>
      <c r="P98" s="55" t="s">
        <v>0</v>
      </c>
    </row>
    <row r="99" spans="1:16" ht="16.5" customHeight="1" thickBot="1" x14ac:dyDescent="0.3">
      <c r="A99" s="246" t="s">
        <v>130</v>
      </c>
      <c r="B99" s="96" t="s">
        <v>47</v>
      </c>
      <c r="C99" s="105">
        <v>0</v>
      </c>
      <c r="D99" s="105">
        <v>0</v>
      </c>
      <c r="E99" s="105">
        <v>0</v>
      </c>
      <c r="F99" s="105">
        <v>0</v>
      </c>
      <c r="G99" s="105">
        <v>0</v>
      </c>
      <c r="H99" s="105">
        <v>2.8</v>
      </c>
      <c r="I99" s="105">
        <v>2.2999999999999998</v>
      </c>
      <c r="J99" s="105">
        <v>0</v>
      </c>
      <c r="K99" s="105">
        <v>0</v>
      </c>
      <c r="L99" s="105">
        <v>0</v>
      </c>
      <c r="M99" s="22">
        <f>COUNTIF(C99:L99,"&gt;0")</f>
        <v>2</v>
      </c>
      <c r="N99" s="22">
        <f>COUNTIF(C99:L99,"&gt;20")</f>
        <v>0</v>
      </c>
      <c r="O99" s="7">
        <f>MAX(C99:L99)</f>
        <v>2.8</v>
      </c>
      <c r="P99" s="7">
        <f>SUM(C99:L99)</f>
        <v>5.0999999999999996</v>
      </c>
    </row>
    <row r="100" spans="1:16" ht="16.5" thickBot="1" x14ac:dyDescent="0.3">
      <c r="A100" s="247"/>
      <c r="B100" s="101" t="s">
        <v>48</v>
      </c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22">
        <f>COUNTIF(C100:L100,"&gt;0")</f>
        <v>0</v>
      </c>
      <c r="N100" s="22">
        <f t="shared" ref="N100:N111" si="28">COUNTIF(C100:L100,"&gt;20")</f>
        <v>0</v>
      </c>
      <c r="O100" s="7">
        <f t="shared" ref="O100:O111" si="29">MAX(C100:L100)</f>
        <v>0</v>
      </c>
      <c r="P100" s="7">
        <f t="shared" ref="P100:P111" si="30">SUM(C100:L100)</f>
        <v>0</v>
      </c>
    </row>
    <row r="101" spans="1:16" ht="16.5" thickBot="1" x14ac:dyDescent="0.3">
      <c r="A101" s="247"/>
      <c r="B101" s="50" t="s">
        <v>49</v>
      </c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22">
        <f t="shared" ref="M101:M111" si="31">COUNTIF(C101:L101,"&gt;0")</f>
        <v>0</v>
      </c>
      <c r="N101" s="22">
        <f t="shared" si="28"/>
        <v>0</v>
      </c>
      <c r="O101" s="7">
        <f t="shared" si="29"/>
        <v>0</v>
      </c>
      <c r="P101" s="7">
        <f t="shared" si="30"/>
        <v>0</v>
      </c>
    </row>
    <row r="102" spans="1:16" ht="16.5" thickBot="1" x14ac:dyDescent="0.3">
      <c r="A102" s="247"/>
      <c r="B102" s="50" t="s">
        <v>50</v>
      </c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22">
        <f t="shared" si="31"/>
        <v>0</v>
      </c>
      <c r="N102" s="22">
        <f t="shared" si="28"/>
        <v>0</v>
      </c>
      <c r="O102" s="7">
        <f t="shared" si="29"/>
        <v>0</v>
      </c>
      <c r="P102" s="7">
        <f t="shared" si="30"/>
        <v>0</v>
      </c>
    </row>
    <row r="103" spans="1:16" ht="16.5" thickBot="1" x14ac:dyDescent="0.3">
      <c r="A103" s="247"/>
      <c r="B103" s="50" t="s">
        <v>53</v>
      </c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22">
        <f t="shared" si="31"/>
        <v>0</v>
      </c>
      <c r="N103" s="22">
        <f t="shared" si="28"/>
        <v>0</v>
      </c>
      <c r="O103" s="7">
        <f t="shared" si="29"/>
        <v>0</v>
      </c>
      <c r="P103" s="7">
        <f t="shared" si="30"/>
        <v>0</v>
      </c>
    </row>
    <row r="104" spans="1:16" ht="16.5" thickBot="1" x14ac:dyDescent="0.3">
      <c r="A104" s="247"/>
      <c r="B104" s="50" t="s">
        <v>51</v>
      </c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22">
        <f t="shared" si="31"/>
        <v>0</v>
      </c>
      <c r="N104" s="22">
        <f t="shared" si="28"/>
        <v>0</v>
      </c>
      <c r="O104" s="7">
        <f t="shared" si="29"/>
        <v>0</v>
      </c>
      <c r="P104" s="7">
        <f t="shared" si="30"/>
        <v>0</v>
      </c>
    </row>
    <row r="105" spans="1:16" ht="16.5" thickBot="1" x14ac:dyDescent="0.3">
      <c r="A105" s="247"/>
      <c r="B105" s="50" t="s">
        <v>57</v>
      </c>
      <c r="C105" s="105"/>
      <c r="D105" s="105"/>
      <c r="E105" s="105"/>
      <c r="F105" s="105"/>
      <c r="G105" s="105"/>
      <c r="H105" s="105"/>
      <c r="I105" s="105">
        <v>0.5</v>
      </c>
      <c r="J105" s="105"/>
      <c r="K105" s="105"/>
      <c r="L105" s="105"/>
      <c r="M105" s="22">
        <f t="shared" si="31"/>
        <v>1</v>
      </c>
      <c r="N105" s="22">
        <f t="shared" si="28"/>
        <v>0</v>
      </c>
      <c r="O105" s="7">
        <f t="shared" si="29"/>
        <v>0.5</v>
      </c>
      <c r="P105" s="7">
        <f t="shared" si="30"/>
        <v>0.5</v>
      </c>
    </row>
    <row r="106" spans="1:16" ht="16.5" thickBot="1" x14ac:dyDescent="0.3">
      <c r="A106" s="247"/>
      <c r="B106" s="50" t="s">
        <v>56</v>
      </c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22">
        <f t="shared" si="31"/>
        <v>0</v>
      </c>
      <c r="N106" s="22">
        <f t="shared" si="28"/>
        <v>0</v>
      </c>
      <c r="O106" s="7">
        <f t="shared" si="29"/>
        <v>0</v>
      </c>
      <c r="P106" s="7">
        <f t="shared" si="30"/>
        <v>0</v>
      </c>
    </row>
    <row r="107" spans="1:16" ht="16.5" thickBot="1" x14ac:dyDescent="0.3">
      <c r="A107" s="247"/>
      <c r="B107" s="50" t="s">
        <v>52</v>
      </c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22">
        <f t="shared" si="31"/>
        <v>0</v>
      </c>
      <c r="N107" s="22">
        <f t="shared" si="28"/>
        <v>0</v>
      </c>
      <c r="O107" s="7">
        <f t="shared" si="29"/>
        <v>0</v>
      </c>
      <c r="P107" s="7">
        <f t="shared" si="30"/>
        <v>0</v>
      </c>
    </row>
    <row r="108" spans="1:16" ht="16.5" thickBot="1" x14ac:dyDescent="0.3">
      <c r="A108" s="247"/>
      <c r="B108" s="50" t="s">
        <v>54</v>
      </c>
      <c r="C108" s="105"/>
      <c r="D108" s="105"/>
      <c r="E108" s="105">
        <v>0.5</v>
      </c>
      <c r="F108" s="105"/>
      <c r="G108" s="105"/>
      <c r="H108" s="105"/>
      <c r="I108" s="105"/>
      <c r="J108" s="105"/>
      <c r="K108" s="105"/>
      <c r="L108" s="105"/>
      <c r="M108" s="22">
        <f t="shared" si="31"/>
        <v>1</v>
      </c>
      <c r="N108" s="22">
        <f t="shared" si="28"/>
        <v>0</v>
      </c>
      <c r="O108" s="7">
        <f t="shared" si="29"/>
        <v>0.5</v>
      </c>
      <c r="P108" s="7">
        <f t="shared" si="30"/>
        <v>0.5</v>
      </c>
    </row>
    <row r="109" spans="1:16" ht="16.5" thickBot="1" x14ac:dyDescent="0.3">
      <c r="A109" s="247"/>
      <c r="B109" s="50" t="s">
        <v>55</v>
      </c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22">
        <f t="shared" si="31"/>
        <v>0</v>
      </c>
      <c r="N109" s="22">
        <f t="shared" si="28"/>
        <v>0</v>
      </c>
      <c r="O109" s="7">
        <f t="shared" si="29"/>
        <v>0</v>
      </c>
      <c r="P109" s="7">
        <f t="shared" si="30"/>
        <v>0</v>
      </c>
    </row>
    <row r="110" spans="1:16" ht="16.5" thickBot="1" x14ac:dyDescent="0.3">
      <c r="A110" s="247"/>
      <c r="B110" s="50" t="s">
        <v>154</v>
      </c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22">
        <f t="shared" si="31"/>
        <v>0</v>
      </c>
      <c r="N110" s="22">
        <f t="shared" si="28"/>
        <v>0</v>
      </c>
      <c r="O110" s="7">
        <f t="shared" si="29"/>
        <v>0</v>
      </c>
      <c r="P110" s="7">
        <f t="shared" si="30"/>
        <v>0</v>
      </c>
    </row>
    <row r="111" spans="1:16" ht="16.5" thickBot="1" x14ac:dyDescent="0.3">
      <c r="A111" s="248"/>
      <c r="B111" s="50" t="s">
        <v>165</v>
      </c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22">
        <f t="shared" si="31"/>
        <v>0</v>
      </c>
      <c r="N111" s="22">
        <f t="shared" si="28"/>
        <v>0</v>
      </c>
      <c r="O111" s="7">
        <f t="shared" si="29"/>
        <v>0</v>
      </c>
      <c r="P111" s="7">
        <f t="shared" si="30"/>
        <v>0</v>
      </c>
    </row>
    <row r="113" spans="1:22" ht="15.75" thickBot="1" x14ac:dyDescent="0.3">
      <c r="A113" s="156"/>
      <c r="B113" s="97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7"/>
      <c r="P113" s="76"/>
      <c r="Q113" s="76"/>
      <c r="R113" s="76"/>
      <c r="S113" s="76"/>
      <c r="T113" s="76"/>
      <c r="U113" s="76"/>
      <c r="V113" s="76"/>
    </row>
    <row r="114" spans="1:22" ht="15" customHeight="1" x14ac:dyDescent="0.25">
      <c r="A114" s="224" t="s">
        <v>1</v>
      </c>
      <c r="B114" s="231" t="s">
        <v>2</v>
      </c>
      <c r="C114" s="234" t="str">
        <f>C2</f>
        <v>HAUTEURS JOURNALIERES DE PLUIE :                                                                                                                              2ème DECADE DU MOIS DE AOUT 2025</v>
      </c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5"/>
    </row>
    <row r="115" spans="1:22" ht="15.75" customHeight="1" thickBot="1" x14ac:dyDescent="0.3">
      <c r="A115" s="225"/>
      <c r="B115" s="232"/>
      <c r="C115" s="237"/>
      <c r="D115" s="237"/>
      <c r="E115" s="237"/>
      <c r="F115" s="237"/>
      <c r="G115" s="237"/>
      <c r="H115" s="237"/>
      <c r="I115" s="237"/>
      <c r="J115" s="237"/>
      <c r="K115" s="237"/>
      <c r="L115" s="237"/>
      <c r="M115" s="237"/>
      <c r="N115" s="237"/>
      <c r="O115" s="237"/>
      <c r="P115" s="238"/>
    </row>
    <row r="116" spans="1:22" ht="24" customHeight="1" thickBot="1" x14ac:dyDescent="0.3">
      <c r="A116" s="225"/>
      <c r="B116" s="249"/>
      <c r="C116" s="51">
        <v>11</v>
      </c>
      <c r="D116" s="52">
        <v>12</v>
      </c>
      <c r="E116" s="52">
        <v>13</v>
      </c>
      <c r="F116" s="52">
        <v>14</v>
      </c>
      <c r="G116" s="52">
        <v>15</v>
      </c>
      <c r="H116" s="52">
        <v>16</v>
      </c>
      <c r="I116" s="52">
        <v>17</v>
      </c>
      <c r="J116" s="52">
        <v>18</v>
      </c>
      <c r="K116" s="52">
        <v>19</v>
      </c>
      <c r="L116" s="21">
        <v>20</v>
      </c>
      <c r="M116" s="60" t="s">
        <v>89</v>
      </c>
      <c r="N116" s="83" t="s">
        <v>105</v>
      </c>
      <c r="O116" s="59" t="s">
        <v>106</v>
      </c>
      <c r="P116" s="6" t="s">
        <v>0</v>
      </c>
    </row>
    <row r="117" spans="1:22" ht="16.5" customHeight="1" thickBot="1" x14ac:dyDescent="0.3">
      <c r="A117" s="246" t="s">
        <v>131</v>
      </c>
      <c r="B117" s="50" t="s">
        <v>58</v>
      </c>
      <c r="C117" s="105">
        <v>15.6</v>
      </c>
      <c r="D117" s="105"/>
      <c r="E117" s="105"/>
      <c r="F117" s="105"/>
      <c r="G117" s="105"/>
      <c r="H117" s="105"/>
      <c r="I117" s="105"/>
      <c r="J117" s="105">
        <v>0.6</v>
      </c>
      <c r="K117" s="105">
        <v>1.7</v>
      </c>
      <c r="L117" s="105"/>
      <c r="M117" s="22">
        <f>COUNTIF(C117:L117,"&gt;0")</f>
        <v>3</v>
      </c>
      <c r="N117" s="22">
        <f>COUNTIF(C117:L117,"&gt;20")</f>
        <v>0</v>
      </c>
      <c r="O117" s="7">
        <f>MAX(C117:L117)</f>
        <v>15.6</v>
      </c>
      <c r="P117" s="7">
        <f>SUM(C117:L117)</f>
        <v>17.899999999999999</v>
      </c>
    </row>
    <row r="118" spans="1:22" ht="16.5" thickBot="1" x14ac:dyDescent="0.3">
      <c r="A118" s="247"/>
      <c r="B118" s="50" t="s">
        <v>66</v>
      </c>
      <c r="C118" s="105"/>
      <c r="D118" s="105"/>
      <c r="E118" s="105"/>
      <c r="F118" s="105"/>
      <c r="G118" s="105"/>
      <c r="H118" s="105"/>
      <c r="I118" s="105"/>
      <c r="J118" s="105"/>
      <c r="K118" s="105">
        <v>1.5</v>
      </c>
      <c r="L118" s="105"/>
      <c r="M118" s="22">
        <f t="shared" ref="M118:M146" si="32">COUNTIF(C118:L118,"&gt;0")</f>
        <v>1</v>
      </c>
      <c r="N118" s="22">
        <f t="shared" ref="N118:N146" si="33">COUNTIF(C118:L118,"&gt;20")</f>
        <v>0</v>
      </c>
      <c r="O118" s="7">
        <f t="shared" ref="O118:O146" si="34">MAX(C118:L118)</f>
        <v>1.5</v>
      </c>
      <c r="P118" s="7">
        <f t="shared" ref="P118:P146" si="35">SUM(C118:L118)</f>
        <v>1.5</v>
      </c>
    </row>
    <row r="119" spans="1:22" ht="16.5" thickBot="1" x14ac:dyDescent="0.3">
      <c r="A119" s="247"/>
      <c r="B119" s="99" t="s">
        <v>60</v>
      </c>
      <c r="C119" s="105"/>
      <c r="D119" s="105">
        <v>4.5999999999999996</v>
      </c>
      <c r="E119" s="105"/>
      <c r="F119" s="105"/>
      <c r="G119" s="105"/>
      <c r="H119" s="105"/>
      <c r="I119" s="105"/>
      <c r="J119" s="105"/>
      <c r="K119" s="105"/>
      <c r="L119" s="105"/>
      <c r="M119" s="22">
        <f t="shared" si="32"/>
        <v>1</v>
      </c>
      <c r="N119" s="22">
        <f t="shared" si="33"/>
        <v>0</v>
      </c>
      <c r="O119" s="7">
        <f t="shared" si="34"/>
        <v>4.5999999999999996</v>
      </c>
      <c r="P119" s="7">
        <f t="shared" si="35"/>
        <v>4.5999999999999996</v>
      </c>
    </row>
    <row r="120" spans="1:22" ht="16.5" thickBot="1" x14ac:dyDescent="0.3">
      <c r="A120" s="247"/>
      <c r="B120" s="99" t="s">
        <v>63</v>
      </c>
      <c r="C120" s="105"/>
      <c r="D120" s="105"/>
      <c r="E120" s="105"/>
      <c r="F120" s="105"/>
      <c r="G120" s="105"/>
      <c r="H120" s="105"/>
      <c r="I120" s="105"/>
      <c r="J120" s="105">
        <v>5</v>
      </c>
      <c r="K120" s="105">
        <v>4.5</v>
      </c>
      <c r="L120" s="105"/>
      <c r="M120" s="22">
        <f t="shared" si="32"/>
        <v>2</v>
      </c>
      <c r="N120" s="22">
        <f t="shared" si="33"/>
        <v>0</v>
      </c>
      <c r="O120" s="7">
        <f t="shared" si="34"/>
        <v>5</v>
      </c>
      <c r="P120" s="7">
        <f t="shared" si="35"/>
        <v>9.5</v>
      </c>
    </row>
    <row r="121" spans="1:22" ht="16.5" thickBot="1" x14ac:dyDescent="0.3">
      <c r="A121" s="247"/>
      <c r="B121" s="99" t="s">
        <v>72</v>
      </c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22">
        <f t="shared" si="32"/>
        <v>0</v>
      </c>
      <c r="N121" s="22">
        <f t="shared" si="33"/>
        <v>0</v>
      </c>
      <c r="O121" s="7">
        <f t="shared" si="34"/>
        <v>0</v>
      </c>
      <c r="P121" s="7">
        <f t="shared" si="35"/>
        <v>0</v>
      </c>
    </row>
    <row r="122" spans="1:22" ht="16.5" thickBot="1" x14ac:dyDescent="0.3">
      <c r="A122" s="247"/>
      <c r="B122" s="99" t="s">
        <v>77</v>
      </c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22">
        <f t="shared" si="32"/>
        <v>0</v>
      </c>
      <c r="N122" s="22">
        <f t="shared" si="33"/>
        <v>0</v>
      </c>
      <c r="O122" s="7">
        <f t="shared" si="34"/>
        <v>0</v>
      </c>
      <c r="P122" s="7">
        <f t="shared" si="35"/>
        <v>0</v>
      </c>
    </row>
    <row r="123" spans="1:22" ht="16.5" thickBot="1" x14ac:dyDescent="0.3">
      <c r="A123" s="247"/>
      <c r="B123" s="99" t="s">
        <v>76</v>
      </c>
      <c r="C123" s="105"/>
      <c r="D123" s="105"/>
      <c r="E123" s="105"/>
      <c r="F123" s="105"/>
      <c r="G123" s="105"/>
      <c r="H123" s="105"/>
      <c r="I123" s="105"/>
      <c r="J123" s="105">
        <v>0.6</v>
      </c>
      <c r="K123" s="105">
        <v>1.3</v>
      </c>
      <c r="L123" s="105"/>
      <c r="M123" s="22">
        <f t="shared" si="32"/>
        <v>2</v>
      </c>
      <c r="N123" s="22">
        <f t="shared" si="33"/>
        <v>0</v>
      </c>
      <c r="O123" s="7">
        <f t="shared" si="34"/>
        <v>1.3</v>
      </c>
      <c r="P123" s="7">
        <f t="shared" si="35"/>
        <v>1.9</v>
      </c>
    </row>
    <row r="124" spans="1:22" ht="16.5" thickBot="1" x14ac:dyDescent="0.3">
      <c r="A124" s="247"/>
      <c r="B124" s="50" t="s">
        <v>69</v>
      </c>
      <c r="C124" s="105"/>
      <c r="D124" s="105"/>
      <c r="E124" s="105"/>
      <c r="F124" s="105"/>
      <c r="G124" s="105">
        <v>12.8</v>
      </c>
      <c r="H124" s="105"/>
      <c r="I124" s="105"/>
      <c r="J124" s="105"/>
      <c r="K124" s="105">
        <v>6.8</v>
      </c>
      <c r="L124" s="105"/>
      <c r="M124" s="22">
        <f t="shared" si="32"/>
        <v>2</v>
      </c>
      <c r="N124" s="22">
        <f t="shared" si="33"/>
        <v>0</v>
      </c>
      <c r="O124" s="7">
        <f t="shared" si="34"/>
        <v>12.8</v>
      </c>
      <c r="P124" s="7">
        <f t="shared" si="35"/>
        <v>19.600000000000001</v>
      </c>
    </row>
    <row r="125" spans="1:22" ht="16.5" thickBot="1" x14ac:dyDescent="0.3">
      <c r="A125" s="247"/>
      <c r="B125" s="81" t="s">
        <v>61</v>
      </c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22">
        <f t="shared" si="32"/>
        <v>0</v>
      </c>
      <c r="N125" s="22">
        <f t="shared" si="33"/>
        <v>0</v>
      </c>
      <c r="O125" s="7">
        <f t="shared" si="34"/>
        <v>0</v>
      </c>
      <c r="P125" s="7">
        <f t="shared" si="35"/>
        <v>0</v>
      </c>
    </row>
    <row r="126" spans="1:22" ht="16.5" thickBot="1" x14ac:dyDescent="0.3">
      <c r="A126" s="247"/>
      <c r="B126" s="50" t="s">
        <v>65</v>
      </c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22">
        <f t="shared" si="32"/>
        <v>0</v>
      </c>
      <c r="N126" s="22">
        <f t="shared" si="33"/>
        <v>0</v>
      </c>
      <c r="O126" s="7">
        <f t="shared" si="34"/>
        <v>0</v>
      </c>
      <c r="P126" s="7">
        <f t="shared" si="35"/>
        <v>0</v>
      </c>
    </row>
    <row r="127" spans="1:22" ht="16.5" customHeight="1" thickBot="1" x14ac:dyDescent="0.3">
      <c r="A127" s="247"/>
      <c r="B127" s="50" t="s">
        <v>67</v>
      </c>
      <c r="C127" s="105"/>
      <c r="D127" s="105"/>
      <c r="E127" s="105"/>
      <c r="F127" s="105"/>
      <c r="G127" s="105">
        <v>0.2</v>
      </c>
      <c r="H127" s="105"/>
      <c r="I127" s="105">
        <v>0.6</v>
      </c>
      <c r="J127" s="105">
        <v>1.2</v>
      </c>
      <c r="K127" s="105">
        <v>0.8</v>
      </c>
      <c r="L127" s="105"/>
      <c r="M127" s="22">
        <f t="shared" si="32"/>
        <v>4</v>
      </c>
      <c r="N127" s="22">
        <f t="shared" si="33"/>
        <v>0</v>
      </c>
      <c r="O127" s="7">
        <f t="shared" si="34"/>
        <v>1.2</v>
      </c>
      <c r="P127" s="7">
        <f t="shared" si="35"/>
        <v>2.8</v>
      </c>
    </row>
    <row r="128" spans="1:22" ht="16.5" thickBot="1" x14ac:dyDescent="0.3">
      <c r="A128" s="247"/>
      <c r="B128" s="50" t="s">
        <v>73</v>
      </c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22">
        <f t="shared" si="32"/>
        <v>0</v>
      </c>
      <c r="N128" s="22">
        <f t="shared" si="33"/>
        <v>0</v>
      </c>
      <c r="O128" s="7">
        <f t="shared" si="34"/>
        <v>0</v>
      </c>
      <c r="P128" s="7">
        <f t="shared" si="35"/>
        <v>0</v>
      </c>
    </row>
    <row r="129" spans="1:16" ht="16.5" thickBot="1" x14ac:dyDescent="0.3">
      <c r="A129" s="247"/>
      <c r="B129" s="50" t="s">
        <v>74</v>
      </c>
      <c r="C129" s="105">
        <v>12.2</v>
      </c>
      <c r="D129" s="105"/>
      <c r="E129" s="105"/>
      <c r="F129" s="105"/>
      <c r="G129" s="105"/>
      <c r="H129" s="105"/>
      <c r="I129" s="105"/>
      <c r="J129" s="105"/>
      <c r="K129" s="105"/>
      <c r="L129" s="105"/>
      <c r="M129" s="22">
        <f t="shared" si="32"/>
        <v>1</v>
      </c>
      <c r="N129" s="22">
        <f t="shared" si="33"/>
        <v>0</v>
      </c>
      <c r="O129" s="7">
        <f t="shared" si="34"/>
        <v>12.2</v>
      </c>
      <c r="P129" s="7">
        <f t="shared" si="35"/>
        <v>12.2</v>
      </c>
    </row>
    <row r="130" spans="1:16" ht="16.5" thickBot="1" x14ac:dyDescent="0.3">
      <c r="A130" s="247"/>
      <c r="B130" s="99" t="s">
        <v>64</v>
      </c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22">
        <f t="shared" si="32"/>
        <v>0</v>
      </c>
      <c r="N130" s="22">
        <f t="shared" si="33"/>
        <v>0</v>
      </c>
      <c r="O130" s="7">
        <f t="shared" si="34"/>
        <v>0</v>
      </c>
      <c r="P130" s="7">
        <f t="shared" si="35"/>
        <v>0</v>
      </c>
    </row>
    <row r="131" spans="1:16" ht="16.5" thickBot="1" x14ac:dyDescent="0.3">
      <c r="A131" s="247"/>
      <c r="B131" s="142" t="s">
        <v>156</v>
      </c>
      <c r="C131" s="132"/>
      <c r="D131" s="132"/>
      <c r="E131" s="105"/>
      <c r="F131" s="105"/>
      <c r="G131" s="105"/>
      <c r="H131" s="105"/>
      <c r="I131" s="105"/>
      <c r="J131" s="105"/>
      <c r="K131" s="105"/>
      <c r="L131" s="105"/>
      <c r="M131" s="22">
        <f t="shared" si="32"/>
        <v>0</v>
      </c>
      <c r="N131" s="22">
        <f t="shared" si="33"/>
        <v>0</v>
      </c>
      <c r="O131" s="7">
        <f t="shared" si="34"/>
        <v>0</v>
      </c>
      <c r="P131" s="7">
        <f t="shared" si="35"/>
        <v>0</v>
      </c>
    </row>
    <row r="132" spans="1:16" ht="16.5" thickBot="1" x14ac:dyDescent="0.3">
      <c r="A132" s="247"/>
      <c r="B132" s="142" t="s">
        <v>157</v>
      </c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22">
        <f t="shared" si="32"/>
        <v>0</v>
      </c>
      <c r="N132" s="22">
        <f t="shared" si="33"/>
        <v>0</v>
      </c>
      <c r="O132" s="7">
        <f t="shared" si="34"/>
        <v>0</v>
      </c>
      <c r="P132" s="7">
        <f t="shared" si="35"/>
        <v>0</v>
      </c>
    </row>
    <row r="133" spans="1:16" ht="16.5" thickBot="1" x14ac:dyDescent="0.3">
      <c r="A133" s="247"/>
      <c r="B133" s="142" t="s">
        <v>158</v>
      </c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22">
        <f t="shared" si="32"/>
        <v>0</v>
      </c>
      <c r="N133" s="22">
        <f t="shared" si="33"/>
        <v>0</v>
      </c>
      <c r="O133" s="7">
        <f t="shared" si="34"/>
        <v>0</v>
      </c>
      <c r="P133" s="7">
        <f t="shared" si="35"/>
        <v>0</v>
      </c>
    </row>
    <row r="134" spans="1:16" ht="16.5" thickBot="1" x14ac:dyDescent="0.3">
      <c r="A134" s="247"/>
      <c r="B134" s="142" t="s">
        <v>159</v>
      </c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22">
        <f t="shared" si="32"/>
        <v>0</v>
      </c>
      <c r="N134" s="22">
        <f t="shared" si="33"/>
        <v>0</v>
      </c>
      <c r="O134" s="7">
        <f t="shared" si="34"/>
        <v>0</v>
      </c>
      <c r="P134" s="7">
        <f t="shared" si="35"/>
        <v>0</v>
      </c>
    </row>
    <row r="135" spans="1:16" ht="16.5" thickBot="1" x14ac:dyDescent="0.3">
      <c r="A135" s="247"/>
      <c r="B135" s="142" t="s">
        <v>160</v>
      </c>
      <c r="C135" s="132"/>
      <c r="D135" s="132"/>
      <c r="E135" s="132"/>
      <c r="F135" s="132"/>
      <c r="G135" s="105"/>
      <c r="H135" s="132"/>
      <c r="I135" s="105"/>
      <c r="J135" s="105"/>
      <c r="K135" s="105"/>
      <c r="L135" s="105"/>
      <c r="M135" s="22">
        <f t="shared" si="32"/>
        <v>0</v>
      </c>
      <c r="N135" s="22">
        <f t="shared" si="33"/>
        <v>0</v>
      </c>
      <c r="O135" s="7">
        <f t="shared" si="34"/>
        <v>0</v>
      </c>
      <c r="P135" s="7">
        <f t="shared" si="35"/>
        <v>0</v>
      </c>
    </row>
    <row r="136" spans="1:16" ht="32.25" thickBot="1" x14ac:dyDescent="0.3">
      <c r="A136" s="247"/>
      <c r="B136" s="142" t="s">
        <v>161</v>
      </c>
      <c r="C136" s="132"/>
      <c r="D136" s="105"/>
      <c r="E136" s="105"/>
      <c r="F136" s="105"/>
      <c r="G136" s="105"/>
      <c r="H136" s="105"/>
      <c r="I136" s="105"/>
      <c r="J136" s="105"/>
      <c r="K136" s="105"/>
      <c r="L136" s="105"/>
      <c r="M136" s="22">
        <f t="shared" si="32"/>
        <v>0</v>
      </c>
      <c r="N136" s="22">
        <f t="shared" si="33"/>
        <v>0</v>
      </c>
      <c r="O136" s="7">
        <f t="shared" si="34"/>
        <v>0</v>
      </c>
      <c r="P136" s="7">
        <f t="shared" si="35"/>
        <v>0</v>
      </c>
    </row>
    <row r="137" spans="1:16" ht="16.5" thickBot="1" x14ac:dyDescent="0.3">
      <c r="A137" s="247"/>
      <c r="B137" s="142" t="s">
        <v>162</v>
      </c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22">
        <f t="shared" si="32"/>
        <v>0</v>
      </c>
      <c r="N137" s="22">
        <f t="shared" si="33"/>
        <v>0</v>
      </c>
      <c r="O137" s="7">
        <f t="shared" si="34"/>
        <v>0</v>
      </c>
      <c r="P137" s="7">
        <f t="shared" si="35"/>
        <v>0</v>
      </c>
    </row>
    <row r="138" spans="1:16" ht="16.5" thickBot="1" x14ac:dyDescent="0.3">
      <c r="A138" s="247"/>
      <c r="B138" s="142" t="s">
        <v>164</v>
      </c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22">
        <f t="shared" si="32"/>
        <v>0</v>
      </c>
      <c r="N138" s="22">
        <f t="shared" si="33"/>
        <v>0</v>
      </c>
      <c r="O138" s="7">
        <f t="shared" si="34"/>
        <v>0</v>
      </c>
      <c r="P138" s="7">
        <f t="shared" si="35"/>
        <v>0</v>
      </c>
    </row>
    <row r="139" spans="1:16" ht="16.5" thickBot="1" x14ac:dyDescent="0.3">
      <c r="A139" s="247"/>
      <c r="B139" s="142" t="s">
        <v>71</v>
      </c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22">
        <f t="shared" si="32"/>
        <v>0</v>
      </c>
      <c r="N139" s="22">
        <f t="shared" si="33"/>
        <v>0</v>
      </c>
      <c r="O139" s="7">
        <f t="shared" si="34"/>
        <v>0</v>
      </c>
      <c r="P139" s="7">
        <f t="shared" si="35"/>
        <v>0</v>
      </c>
    </row>
    <row r="140" spans="1:16" ht="16.5" thickBot="1" x14ac:dyDescent="0.3">
      <c r="A140" s="247"/>
      <c r="B140" s="96" t="s">
        <v>59</v>
      </c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22">
        <f t="shared" si="32"/>
        <v>0</v>
      </c>
      <c r="N140" s="22">
        <f t="shared" si="33"/>
        <v>0</v>
      </c>
      <c r="O140" s="7">
        <f t="shared" si="34"/>
        <v>0</v>
      </c>
      <c r="P140" s="7">
        <f t="shared" si="35"/>
        <v>0</v>
      </c>
    </row>
    <row r="141" spans="1:16" ht="16.5" thickBot="1" x14ac:dyDescent="0.3">
      <c r="A141" s="247"/>
      <c r="B141" s="99" t="s">
        <v>62</v>
      </c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2">
        <f t="shared" si="32"/>
        <v>0</v>
      </c>
      <c r="N141" s="22">
        <f t="shared" si="33"/>
        <v>0</v>
      </c>
      <c r="O141" s="7">
        <f t="shared" si="34"/>
        <v>0</v>
      </c>
      <c r="P141" s="7">
        <f t="shared" si="35"/>
        <v>0</v>
      </c>
    </row>
    <row r="142" spans="1:16" ht="16.5" thickBot="1" x14ac:dyDescent="0.3">
      <c r="A142" s="247"/>
      <c r="B142" s="99" t="s">
        <v>68</v>
      </c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2">
        <f t="shared" si="32"/>
        <v>0</v>
      </c>
      <c r="N142" s="22">
        <f t="shared" si="33"/>
        <v>0</v>
      </c>
      <c r="O142" s="7">
        <f t="shared" si="34"/>
        <v>0</v>
      </c>
      <c r="P142" s="7">
        <f t="shared" si="35"/>
        <v>0</v>
      </c>
    </row>
    <row r="143" spans="1:16" ht="16.5" thickBot="1" x14ac:dyDescent="0.3">
      <c r="A143" s="247"/>
      <c r="B143" s="50" t="s">
        <v>70</v>
      </c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22">
        <f t="shared" si="32"/>
        <v>0</v>
      </c>
      <c r="N143" s="22">
        <f t="shared" si="33"/>
        <v>0</v>
      </c>
      <c r="O143" s="7">
        <f t="shared" si="34"/>
        <v>0</v>
      </c>
      <c r="P143" s="7">
        <f t="shared" si="35"/>
        <v>0</v>
      </c>
    </row>
    <row r="144" spans="1:16" ht="16.5" thickBot="1" x14ac:dyDescent="0.3">
      <c r="A144" s="247"/>
      <c r="B144" s="50" t="s">
        <v>75</v>
      </c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22">
        <f t="shared" si="32"/>
        <v>0</v>
      </c>
      <c r="N144" s="22">
        <f t="shared" si="33"/>
        <v>0</v>
      </c>
      <c r="O144" s="7">
        <f t="shared" si="34"/>
        <v>0</v>
      </c>
      <c r="P144" s="7">
        <f t="shared" si="35"/>
        <v>0</v>
      </c>
    </row>
    <row r="145" spans="1:16" ht="16.5" thickBot="1" x14ac:dyDescent="0.3">
      <c r="A145" s="247"/>
      <c r="B145" s="50" t="s">
        <v>144</v>
      </c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22">
        <f t="shared" si="32"/>
        <v>0</v>
      </c>
      <c r="N145" s="22">
        <f t="shared" si="33"/>
        <v>0</v>
      </c>
      <c r="O145" s="7">
        <f t="shared" si="34"/>
        <v>0</v>
      </c>
      <c r="P145" s="7">
        <f t="shared" si="35"/>
        <v>0</v>
      </c>
    </row>
    <row r="146" spans="1:16" ht="16.5" thickBot="1" x14ac:dyDescent="0.3">
      <c r="A146" s="248"/>
      <c r="B146" s="50" t="s">
        <v>166</v>
      </c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22">
        <f t="shared" si="32"/>
        <v>0</v>
      </c>
      <c r="N146" s="22">
        <f t="shared" si="33"/>
        <v>0</v>
      </c>
      <c r="O146" s="7">
        <f t="shared" si="34"/>
        <v>0</v>
      </c>
      <c r="P146" s="7">
        <f t="shared" si="35"/>
        <v>0</v>
      </c>
    </row>
    <row r="147" spans="1:16" ht="16.5" thickBot="1" x14ac:dyDescent="0.3">
      <c r="B147" s="50" t="s">
        <v>167</v>
      </c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2">
        <f t="shared" ref="M147" si="36">COUNTIF(C147:L147,"&gt;0")</f>
        <v>0</v>
      </c>
      <c r="N147" s="22">
        <f t="shared" ref="N147" si="37">COUNTIF(C147:L147,"&gt;20")</f>
        <v>0</v>
      </c>
      <c r="O147" s="7">
        <f t="shared" ref="O147" si="38">MAX(C147:L147)</f>
        <v>0</v>
      </c>
      <c r="P147" s="7">
        <f t="shared" ref="P147" si="39">SUM(C147:L147)</f>
        <v>0</v>
      </c>
    </row>
  </sheetData>
  <mergeCells count="27">
    <mergeCell ref="A2:A4"/>
    <mergeCell ref="B2:B4"/>
    <mergeCell ref="C2:P3"/>
    <mergeCell ref="B20:N20"/>
    <mergeCell ref="A5:A19"/>
    <mergeCell ref="C96:P97"/>
    <mergeCell ref="A99:A111"/>
    <mergeCell ref="A22:A24"/>
    <mergeCell ref="B22:B24"/>
    <mergeCell ref="C22:P23"/>
    <mergeCell ref="A78:A94"/>
    <mergeCell ref="A117:A146"/>
    <mergeCell ref="A114:A116"/>
    <mergeCell ref="B114:B116"/>
    <mergeCell ref="C114:P115"/>
    <mergeCell ref="A25:A42"/>
    <mergeCell ref="B43:N43"/>
    <mergeCell ref="A45:A47"/>
    <mergeCell ref="B45:B47"/>
    <mergeCell ref="C45:P46"/>
    <mergeCell ref="A48:A72"/>
    <mergeCell ref="B73:P73"/>
    <mergeCell ref="A75:A77"/>
    <mergeCell ref="B75:B77"/>
    <mergeCell ref="C75:P76"/>
    <mergeCell ref="A96:A98"/>
    <mergeCell ref="B96:B9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4"/>
  <sheetViews>
    <sheetView zoomScale="110" zoomScaleNormal="110" workbookViewId="0">
      <selection activeCell="S9" sqref="S9"/>
    </sheetView>
  </sheetViews>
  <sheetFormatPr baseColWidth="10" defaultColWidth="11.42578125" defaultRowHeight="15" x14ac:dyDescent="0.25"/>
  <cols>
    <col min="1" max="1" width="17.85546875" style="154" customWidth="1"/>
    <col min="2" max="2" width="19.42578125" style="154" customWidth="1"/>
    <col min="3" max="3" width="6" style="154" customWidth="1"/>
    <col min="4" max="4" width="4.42578125" style="154" bestFit="1" customWidth="1"/>
    <col min="5" max="5" width="6" style="154" customWidth="1"/>
    <col min="6" max="6" width="6.42578125" style="154" customWidth="1"/>
    <col min="7" max="7" width="5.42578125" style="154" customWidth="1"/>
    <col min="8" max="8" width="4.85546875" style="154" bestFit="1" customWidth="1"/>
    <col min="9" max="9" width="6" style="154" customWidth="1"/>
    <col min="10" max="10" width="5.5703125" style="154" customWidth="1"/>
    <col min="11" max="11" width="6.140625" style="154" customWidth="1"/>
    <col min="12" max="12" width="5.85546875" style="154" customWidth="1"/>
    <col min="13" max="13" width="5.85546875" style="200" customWidth="1"/>
    <col min="14" max="14" width="6.28515625" style="154" customWidth="1"/>
    <col min="15" max="15" width="5.85546875" style="154" customWidth="1"/>
    <col min="16" max="16" width="6.140625" style="154" customWidth="1"/>
    <col min="17" max="17" width="7" style="154" customWidth="1"/>
    <col min="18" max="16384" width="11.42578125" style="154"/>
  </cols>
  <sheetData>
    <row r="1" spans="1:23" x14ac:dyDescent="0.25">
      <c r="B1" s="155"/>
      <c r="O1" s="156"/>
      <c r="P1" s="157"/>
    </row>
    <row r="2" spans="1:23" ht="15.75" thickBot="1" x14ac:dyDescent="0.3">
      <c r="B2" s="155"/>
      <c r="O2" s="156"/>
      <c r="P2" s="157"/>
    </row>
    <row r="3" spans="1:23" x14ac:dyDescent="0.25">
      <c r="A3" s="224" t="s">
        <v>1</v>
      </c>
      <c r="B3" s="276" t="s">
        <v>2</v>
      </c>
      <c r="C3" s="255" t="s">
        <v>171</v>
      </c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6"/>
    </row>
    <row r="4" spans="1:23" ht="15.75" thickBot="1" x14ac:dyDescent="0.3">
      <c r="A4" s="225"/>
      <c r="B4" s="276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66"/>
      <c r="N4" s="257"/>
      <c r="O4" s="257"/>
      <c r="P4" s="257"/>
      <c r="Q4" s="258"/>
    </row>
    <row r="5" spans="1:23" ht="26.25" customHeight="1" thickBot="1" x14ac:dyDescent="0.3">
      <c r="A5" s="225"/>
      <c r="B5" s="276"/>
      <c r="C5" s="158">
        <v>21</v>
      </c>
      <c r="D5" s="158">
        <v>22</v>
      </c>
      <c r="E5" s="158">
        <v>23</v>
      </c>
      <c r="F5" s="158">
        <v>24</v>
      </c>
      <c r="G5" s="158">
        <v>25</v>
      </c>
      <c r="H5" s="158">
        <v>26</v>
      </c>
      <c r="I5" s="158">
        <v>27</v>
      </c>
      <c r="J5" s="158">
        <v>28</v>
      </c>
      <c r="K5" s="158">
        <v>29</v>
      </c>
      <c r="L5" s="159">
        <v>30</v>
      </c>
      <c r="M5" s="160">
        <v>31</v>
      </c>
      <c r="N5" s="161" t="s">
        <v>114</v>
      </c>
      <c r="O5" s="162" t="s">
        <v>147</v>
      </c>
      <c r="P5" s="163" t="s">
        <v>106</v>
      </c>
      <c r="Q5" s="164" t="s">
        <v>0</v>
      </c>
    </row>
    <row r="6" spans="1:23" ht="16.5" thickBot="1" x14ac:dyDescent="0.3">
      <c r="A6" s="246" t="s">
        <v>126</v>
      </c>
      <c r="B6" s="100" t="s">
        <v>115</v>
      </c>
      <c r="C6" s="165"/>
      <c r="D6" s="166"/>
      <c r="E6" s="166"/>
      <c r="F6" s="167"/>
      <c r="G6" s="168"/>
      <c r="H6" s="168"/>
      <c r="I6" s="168"/>
      <c r="J6" s="168"/>
      <c r="K6" s="168"/>
      <c r="L6" s="169"/>
      <c r="M6" s="210"/>
      <c r="N6" s="170">
        <f>COUNTIF(C6:M6,"&gt;0")</f>
        <v>0</v>
      </c>
      <c r="O6" s="170">
        <f>COUNTIF(C6:M6,"&gt;20")</f>
        <v>0</v>
      </c>
      <c r="P6" s="171">
        <f>MAX(C6:M6)</f>
        <v>0</v>
      </c>
      <c r="Q6" s="171">
        <f>SUM(C6:M6)</f>
        <v>0</v>
      </c>
      <c r="R6" s="156"/>
      <c r="S6" s="156"/>
      <c r="T6" s="156"/>
      <c r="U6" s="156"/>
      <c r="V6" s="156"/>
      <c r="W6" s="156"/>
    </row>
    <row r="7" spans="1:23" ht="16.5" thickBot="1" x14ac:dyDescent="0.3">
      <c r="A7" s="247"/>
      <c r="B7" s="100" t="s">
        <v>103</v>
      </c>
      <c r="C7" s="218">
        <v>0.4</v>
      </c>
      <c r="D7" s="218">
        <v>0</v>
      </c>
      <c r="E7" s="218">
        <v>0</v>
      </c>
      <c r="F7" s="218">
        <v>0</v>
      </c>
      <c r="G7" s="218">
        <v>0</v>
      </c>
      <c r="H7" s="218">
        <v>0</v>
      </c>
      <c r="I7" s="218">
        <v>0</v>
      </c>
      <c r="J7" s="218">
        <v>0</v>
      </c>
      <c r="K7" s="218">
        <v>0</v>
      </c>
      <c r="L7" s="218">
        <v>0.4</v>
      </c>
      <c r="M7" s="218">
        <v>0</v>
      </c>
      <c r="N7" s="170">
        <f t="shared" ref="N7:N20" si="0">COUNTIF(C7:M7,"&gt;0")</f>
        <v>2</v>
      </c>
      <c r="O7" s="170">
        <f t="shared" ref="O7:O20" si="1">COUNTIF(C7:M7,"&gt;20")</f>
        <v>0</v>
      </c>
      <c r="P7" s="171">
        <f t="shared" ref="P7:P20" si="2">MAX(C7:M7)</f>
        <v>0.4</v>
      </c>
      <c r="Q7" s="171">
        <f t="shared" ref="Q7:Q20" si="3">SUM(C7:M7)</f>
        <v>0.8</v>
      </c>
      <c r="R7" s="156"/>
      <c r="S7" s="156"/>
      <c r="T7" s="156"/>
      <c r="U7" s="156"/>
      <c r="V7" s="156"/>
      <c r="W7" s="156"/>
    </row>
    <row r="8" spans="1:23" ht="16.5" thickBot="1" x14ac:dyDescent="0.3">
      <c r="A8" s="247"/>
      <c r="B8" s="100" t="s">
        <v>104</v>
      </c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70">
        <f t="shared" si="0"/>
        <v>0</v>
      </c>
      <c r="O8" s="170">
        <f t="shared" si="1"/>
        <v>0</v>
      </c>
      <c r="P8" s="171">
        <f t="shared" si="2"/>
        <v>0</v>
      </c>
      <c r="Q8" s="171">
        <f t="shared" si="3"/>
        <v>0</v>
      </c>
    </row>
    <row r="9" spans="1:23" ht="16.5" thickBot="1" x14ac:dyDescent="0.3">
      <c r="A9" s="247"/>
      <c r="B9" s="100" t="s">
        <v>85</v>
      </c>
      <c r="C9" s="147"/>
      <c r="D9" s="147"/>
      <c r="E9" s="147"/>
      <c r="F9" s="147"/>
      <c r="G9" s="147"/>
      <c r="H9" s="147"/>
      <c r="I9" s="147"/>
      <c r="J9" s="147"/>
      <c r="K9" s="147"/>
      <c r="L9" s="147"/>
      <c r="M9" s="147"/>
      <c r="N9" s="170">
        <f t="shared" si="0"/>
        <v>0</v>
      </c>
      <c r="O9" s="170">
        <f t="shared" si="1"/>
        <v>0</v>
      </c>
      <c r="P9" s="171">
        <f t="shared" si="2"/>
        <v>0</v>
      </c>
      <c r="Q9" s="171">
        <f t="shared" si="3"/>
        <v>0</v>
      </c>
    </row>
    <row r="10" spans="1:23" ht="16.5" thickBot="1" x14ac:dyDescent="0.3">
      <c r="A10" s="247"/>
      <c r="B10" s="100" t="s">
        <v>93</v>
      </c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70">
        <f t="shared" si="0"/>
        <v>0</v>
      </c>
      <c r="O10" s="170">
        <f t="shared" si="1"/>
        <v>0</v>
      </c>
      <c r="P10" s="171">
        <f t="shared" si="2"/>
        <v>0</v>
      </c>
      <c r="Q10" s="171">
        <f t="shared" si="3"/>
        <v>0</v>
      </c>
    </row>
    <row r="11" spans="1:23" ht="16.5" thickBot="1" x14ac:dyDescent="0.3">
      <c r="A11" s="247"/>
      <c r="B11" s="100" t="s">
        <v>117</v>
      </c>
      <c r="C11" s="147"/>
      <c r="D11" s="149"/>
      <c r="E11" s="149"/>
      <c r="F11" s="149"/>
      <c r="G11" s="149"/>
      <c r="H11" s="149"/>
      <c r="I11" s="149"/>
      <c r="J11" s="149"/>
      <c r="K11" s="149"/>
      <c r="L11" s="150"/>
      <c r="M11" s="210"/>
      <c r="N11" s="170">
        <f t="shared" si="0"/>
        <v>0</v>
      </c>
      <c r="O11" s="170">
        <f t="shared" si="1"/>
        <v>0</v>
      </c>
      <c r="P11" s="171">
        <f t="shared" si="2"/>
        <v>0</v>
      </c>
      <c r="Q11" s="171">
        <f t="shared" si="3"/>
        <v>0</v>
      </c>
    </row>
    <row r="12" spans="1:23" ht="24.75" customHeight="1" thickBot="1" x14ac:dyDescent="0.3">
      <c r="A12" s="247"/>
      <c r="B12" s="100" t="s">
        <v>116</v>
      </c>
      <c r="C12" s="147"/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N12" s="170">
        <f t="shared" si="0"/>
        <v>0</v>
      </c>
      <c r="O12" s="170">
        <f t="shared" si="1"/>
        <v>0</v>
      </c>
      <c r="P12" s="171">
        <f t="shared" si="2"/>
        <v>0</v>
      </c>
      <c r="Q12" s="171">
        <f t="shared" si="3"/>
        <v>0</v>
      </c>
    </row>
    <row r="13" spans="1:23" ht="16.5" thickBot="1" x14ac:dyDescent="0.3">
      <c r="A13" s="247"/>
      <c r="B13" s="100" t="s">
        <v>112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170">
        <f t="shared" si="0"/>
        <v>0</v>
      </c>
      <c r="O13" s="170">
        <f t="shared" si="1"/>
        <v>0</v>
      </c>
      <c r="P13" s="171">
        <f t="shared" si="2"/>
        <v>0</v>
      </c>
      <c r="Q13" s="171">
        <f t="shared" si="3"/>
        <v>0</v>
      </c>
    </row>
    <row r="14" spans="1:23" ht="16.5" thickBot="1" x14ac:dyDescent="0.3">
      <c r="A14" s="247"/>
      <c r="B14" s="100" t="s">
        <v>3</v>
      </c>
      <c r="C14" s="147"/>
      <c r="D14" s="147"/>
      <c r="E14" s="147"/>
      <c r="F14" s="147"/>
      <c r="G14" s="147"/>
      <c r="H14" s="147"/>
      <c r="I14" s="147"/>
      <c r="J14" s="147"/>
      <c r="K14" s="147"/>
      <c r="L14" s="147"/>
      <c r="M14" s="147"/>
      <c r="N14" s="170">
        <f t="shared" si="0"/>
        <v>0</v>
      </c>
      <c r="O14" s="170">
        <f t="shared" si="1"/>
        <v>0</v>
      </c>
      <c r="P14" s="171">
        <f>MAX(C14:M14)</f>
        <v>0</v>
      </c>
      <c r="Q14" s="171">
        <f t="shared" si="3"/>
        <v>0</v>
      </c>
    </row>
    <row r="15" spans="1:23" ht="16.5" thickBot="1" x14ac:dyDescent="0.3">
      <c r="A15" s="247"/>
      <c r="B15" s="100" t="s">
        <v>4</v>
      </c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70">
        <f t="shared" si="0"/>
        <v>0</v>
      </c>
      <c r="O15" s="170">
        <f t="shared" si="1"/>
        <v>0</v>
      </c>
      <c r="P15" s="171">
        <f t="shared" si="2"/>
        <v>0</v>
      </c>
      <c r="Q15" s="171">
        <f t="shared" si="3"/>
        <v>0</v>
      </c>
    </row>
    <row r="16" spans="1:23" ht="16.5" thickBot="1" x14ac:dyDescent="0.3">
      <c r="A16" s="247"/>
      <c r="B16" s="100" t="s">
        <v>7</v>
      </c>
      <c r="C16" s="147">
        <v>0</v>
      </c>
      <c r="D16" s="147">
        <v>0</v>
      </c>
      <c r="E16" s="147">
        <v>0</v>
      </c>
      <c r="F16" s="147">
        <v>0</v>
      </c>
      <c r="G16" s="147">
        <v>0</v>
      </c>
      <c r="H16" s="147">
        <v>0</v>
      </c>
      <c r="I16" s="147">
        <v>0</v>
      </c>
      <c r="J16" s="147">
        <v>0</v>
      </c>
      <c r="K16" s="147">
        <v>0.6</v>
      </c>
      <c r="L16" s="147">
        <v>0.3</v>
      </c>
      <c r="M16" s="147">
        <v>0</v>
      </c>
      <c r="N16" s="170">
        <f t="shared" si="0"/>
        <v>2</v>
      </c>
      <c r="O16" s="170">
        <f t="shared" si="1"/>
        <v>0</v>
      </c>
      <c r="P16" s="171">
        <f t="shared" si="2"/>
        <v>0.6</v>
      </c>
      <c r="Q16" s="171">
        <f t="shared" si="3"/>
        <v>0.89999999999999991</v>
      </c>
    </row>
    <row r="17" spans="1:23" ht="16.5" thickBot="1" x14ac:dyDescent="0.3">
      <c r="A17" s="247"/>
      <c r="B17" s="100" t="s">
        <v>6</v>
      </c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70">
        <f t="shared" si="0"/>
        <v>0</v>
      </c>
      <c r="O17" s="170">
        <f t="shared" si="1"/>
        <v>0</v>
      </c>
      <c r="P17" s="171">
        <f t="shared" si="2"/>
        <v>0</v>
      </c>
      <c r="Q17" s="171">
        <f t="shared" si="3"/>
        <v>0</v>
      </c>
    </row>
    <row r="18" spans="1:23" ht="21" customHeight="1" thickBot="1" x14ac:dyDescent="0.3">
      <c r="A18" s="247"/>
      <c r="B18" s="151" t="s">
        <v>5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70">
        <f t="shared" si="0"/>
        <v>0</v>
      </c>
      <c r="O18" s="170">
        <f t="shared" si="1"/>
        <v>0</v>
      </c>
      <c r="P18" s="171">
        <f t="shared" si="2"/>
        <v>0</v>
      </c>
      <c r="Q18" s="171">
        <f t="shared" si="3"/>
        <v>0</v>
      </c>
    </row>
    <row r="19" spans="1:23" ht="24.75" customHeight="1" thickBot="1" x14ac:dyDescent="0.3">
      <c r="A19" s="247"/>
      <c r="B19" s="120" t="s">
        <v>8</v>
      </c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0">
        <f t="shared" si="0"/>
        <v>0</v>
      </c>
      <c r="O19" s="170">
        <f t="shared" si="1"/>
        <v>0</v>
      </c>
      <c r="P19" s="171">
        <f t="shared" si="2"/>
        <v>0</v>
      </c>
      <c r="Q19" s="171">
        <f t="shared" si="3"/>
        <v>0</v>
      </c>
    </row>
    <row r="20" spans="1:23" ht="24.75" customHeight="1" thickBot="1" x14ac:dyDescent="0.3">
      <c r="A20" s="248"/>
      <c r="B20" s="120" t="s">
        <v>146</v>
      </c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0">
        <f t="shared" si="0"/>
        <v>0</v>
      </c>
      <c r="O20" s="170">
        <f t="shared" si="1"/>
        <v>0</v>
      </c>
      <c r="P20" s="171">
        <f t="shared" si="2"/>
        <v>0</v>
      </c>
      <c r="Q20" s="171">
        <f t="shared" si="3"/>
        <v>0</v>
      </c>
    </row>
    <row r="21" spans="1:23" ht="15.75" x14ac:dyDescent="0.25">
      <c r="B21" s="271"/>
      <c r="C21" s="271"/>
      <c r="D21" s="271"/>
      <c r="E21" s="271"/>
      <c r="F21" s="271"/>
      <c r="G21" s="271"/>
      <c r="H21" s="271"/>
      <c r="I21" s="271"/>
      <c r="J21" s="271"/>
      <c r="K21" s="271"/>
      <c r="L21" s="271"/>
      <c r="M21" s="272"/>
      <c r="N21" s="271"/>
      <c r="O21" s="271"/>
      <c r="P21" s="144"/>
      <c r="Q21" s="173"/>
    </row>
    <row r="22" spans="1:23" ht="15.75" thickBot="1" x14ac:dyDescent="0.3">
      <c r="A22" s="156"/>
      <c r="B22" s="174"/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201"/>
      <c r="N22" s="156"/>
      <c r="O22" s="156"/>
      <c r="P22" s="157"/>
      <c r="Q22" s="156"/>
      <c r="R22" s="156"/>
      <c r="S22" s="156"/>
      <c r="T22" s="156"/>
      <c r="U22" s="156"/>
      <c r="V22" s="156"/>
      <c r="W22" s="156"/>
    </row>
    <row r="23" spans="1:23" ht="15" customHeight="1" x14ac:dyDescent="0.25">
      <c r="A23" s="224" t="s">
        <v>1</v>
      </c>
      <c r="B23" s="252" t="s">
        <v>2</v>
      </c>
      <c r="C23" s="255" t="str">
        <f>C3</f>
        <v>HAUTEURS JOURNALIERES DE PLUIE :                                                                                                       3ème DECADE DU MOIS DE AOUT 2025</v>
      </c>
      <c r="D23" s="255"/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255"/>
      <c r="Q23" s="256"/>
    </row>
    <row r="24" spans="1:23" ht="15.75" customHeight="1" thickBot="1" x14ac:dyDescent="0.3">
      <c r="A24" s="225"/>
      <c r="B24" s="253"/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66"/>
      <c r="N24" s="257"/>
      <c r="O24" s="257"/>
      <c r="P24" s="257"/>
      <c r="Q24" s="258"/>
    </row>
    <row r="25" spans="1:23" ht="27" customHeight="1" thickBot="1" x14ac:dyDescent="0.3">
      <c r="A25" s="225"/>
      <c r="B25" s="253"/>
      <c r="C25" s="175">
        <v>21</v>
      </c>
      <c r="D25" s="158">
        <v>22</v>
      </c>
      <c r="E25" s="158">
        <v>23</v>
      </c>
      <c r="F25" s="158">
        <v>24</v>
      </c>
      <c r="G25" s="158">
        <v>25</v>
      </c>
      <c r="H25" s="158">
        <v>26</v>
      </c>
      <c r="I25" s="158">
        <v>27</v>
      </c>
      <c r="J25" s="158">
        <v>28</v>
      </c>
      <c r="K25" s="158">
        <v>29</v>
      </c>
      <c r="L25" s="159">
        <v>30</v>
      </c>
      <c r="M25" s="160">
        <v>31</v>
      </c>
      <c r="N25" s="161" t="s">
        <v>89</v>
      </c>
      <c r="O25" s="161" t="s">
        <v>147</v>
      </c>
      <c r="P25" s="176" t="s">
        <v>106</v>
      </c>
      <c r="Q25" s="177" t="s">
        <v>0</v>
      </c>
    </row>
    <row r="26" spans="1:23" ht="22.5" customHeight="1" thickBot="1" x14ac:dyDescent="0.3">
      <c r="A26" s="246" t="s">
        <v>127</v>
      </c>
      <c r="B26" s="178" t="s">
        <v>118</v>
      </c>
      <c r="C26" s="179"/>
      <c r="D26" s="179"/>
      <c r="E26" s="179"/>
      <c r="F26" s="179"/>
      <c r="G26" s="179"/>
      <c r="H26" s="179"/>
      <c r="I26" s="179"/>
      <c r="J26" s="179"/>
      <c r="K26" s="179"/>
      <c r="L26" s="179"/>
      <c r="M26" s="179"/>
      <c r="N26" s="180">
        <f>COUNTIF(C26:M26,"&gt;0")</f>
        <v>0</v>
      </c>
      <c r="O26" s="180">
        <f>COUNTIF(C26:M26,"&gt;20")</f>
        <v>0</v>
      </c>
      <c r="P26" s="180">
        <f>MAX(C26:M26)</f>
        <v>0</v>
      </c>
      <c r="Q26" s="181">
        <f>SUM(C26:M26)</f>
        <v>0</v>
      </c>
    </row>
    <row r="27" spans="1:23" ht="24" customHeight="1" thickBot="1" x14ac:dyDescent="0.3">
      <c r="A27" s="247"/>
      <c r="B27" s="178" t="s">
        <v>11</v>
      </c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80">
        <f t="shared" ref="N27:N42" si="4">COUNTIF(C27:M27,"&gt;0")</f>
        <v>0</v>
      </c>
      <c r="O27" s="180">
        <f t="shared" ref="O27:O41" si="5">COUNTIF(C27:M27,"&gt;20")</f>
        <v>0</v>
      </c>
      <c r="P27" s="180">
        <f t="shared" ref="P27:P42" si="6">MAX(C27:M27)</f>
        <v>0</v>
      </c>
      <c r="Q27" s="181">
        <f t="shared" ref="Q27:Q42" si="7">SUM(C27:M27)</f>
        <v>0</v>
      </c>
    </row>
    <row r="28" spans="1:23" ht="21.75" customHeight="1" thickBot="1" x14ac:dyDescent="0.3">
      <c r="A28" s="247"/>
      <c r="B28" s="178" t="s">
        <v>13</v>
      </c>
      <c r="C28" s="179">
        <v>17.399999999999999</v>
      </c>
      <c r="D28" s="179">
        <v>21.2</v>
      </c>
      <c r="E28" s="179">
        <v>0</v>
      </c>
      <c r="F28" s="179">
        <v>0</v>
      </c>
      <c r="G28" s="179">
        <v>0</v>
      </c>
      <c r="H28" s="179">
        <v>25.8</v>
      </c>
      <c r="I28" s="179">
        <v>0</v>
      </c>
      <c r="J28" s="179">
        <v>7.7</v>
      </c>
      <c r="K28" s="179">
        <v>0</v>
      </c>
      <c r="L28" s="179">
        <v>0</v>
      </c>
      <c r="M28" s="179">
        <v>0</v>
      </c>
      <c r="N28" s="180">
        <f t="shared" si="4"/>
        <v>4</v>
      </c>
      <c r="O28" s="180">
        <f t="shared" si="5"/>
        <v>2</v>
      </c>
      <c r="P28" s="180">
        <f t="shared" si="6"/>
        <v>25.8</v>
      </c>
      <c r="Q28" s="181">
        <f t="shared" si="7"/>
        <v>72.099999999999994</v>
      </c>
    </row>
    <row r="29" spans="1:23" ht="23.25" customHeight="1" thickBot="1" x14ac:dyDescent="0.3">
      <c r="A29" s="247"/>
      <c r="B29" s="178" t="s">
        <v>15</v>
      </c>
      <c r="C29" s="179">
        <v>0</v>
      </c>
      <c r="D29" s="179">
        <v>8.6999999999999993</v>
      </c>
      <c r="E29" s="179">
        <v>0</v>
      </c>
      <c r="F29" s="179">
        <v>0</v>
      </c>
      <c r="G29" s="179">
        <v>2.8</v>
      </c>
      <c r="H29" s="179">
        <v>14</v>
      </c>
      <c r="I29" s="179">
        <v>41</v>
      </c>
      <c r="J29" s="179">
        <v>0</v>
      </c>
      <c r="K29" s="179">
        <v>6.8</v>
      </c>
      <c r="L29" s="179">
        <v>7.2</v>
      </c>
      <c r="M29" s="179">
        <v>0</v>
      </c>
      <c r="N29" s="180">
        <f t="shared" si="4"/>
        <v>6</v>
      </c>
      <c r="O29" s="180">
        <f t="shared" si="5"/>
        <v>1</v>
      </c>
      <c r="P29" s="180">
        <f t="shared" si="6"/>
        <v>41</v>
      </c>
      <c r="Q29" s="181">
        <f t="shared" si="7"/>
        <v>80.5</v>
      </c>
    </row>
    <row r="30" spans="1:23" ht="24.75" customHeight="1" thickBot="1" x14ac:dyDescent="0.3">
      <c r="A30" s="247"/>
      <c r="B30" s="178" t="s">
        <v>16</v>
      </c>
      <c r="C30" s="182">
        <v>42.2</v>
      </c>
      <c r="D30" s="182">
        <v>14.8</v>
      </c>
      <c r="E30" s="182">
        <v>0</v>
      </c>
      <c r="F30" s="182">
        <v>0</v>
      </c>
      <c r="G30" s="182">
        <v>4.3</v>
      </c>
      <c r="H30" s="182">
        <v>4.8</v>
      </c>
      <c r="I30" s="182">
        <v>0</v>
      </c>
      <c r="J30" s="182">
        <v>32.299999999999997</v>
      </c>
      <c r="K30" s="182">
        <v>3.1</v>
      </c>
      <c r="L30" s="182">
        <v>13.8</v>
      </c>
      <c r="M30" s="182">
        <v>0</v>
      </c>
      <c r="N30" s="180">
        <f t="shared" si="4"/>
        <v>7</v>
      </c>
      <c r="O30" s="180">
        <f t="shared" si="5"/>
        <v>2</v>
      </c>
      <c r="P30" s="180">
        <f t="shared" si="6"/>
        <v>42.2</v>
      </c>
      <c r="Q30" s="181">
        <f t="shared" si="7"/>
        <v>115.29999999999998</v>
      </c>
    </row>
    <row r="31" spans="1:23" ht="20.25" customHeight="1" thickBot="1" x14ac:dyDescent="0.3">
      <c r="A31" s="247"/>
      <c r="B31" s="178" t="s">
        <v>119</v>
      </c>
      <c r="C31" s="182">
        <v>0</v>
      </c>
      <c r="D31" s="182">
        <v>0</v>
      </c>
      <c r="E31" s="182">
        <v>17.600000000000001</v>
      </c>
      <c r="F31" s="182">
        <v>0</v>
      </c>
      <c r="G31" s="182">
        <v>0</v>
      </c>
      <c r="H31" s="182">
        <v>0</v>
      </c>
      <c r="I31" s="182">
        <v>43.1</v>
      </c>
      <c r="J31" s="182">
        <v>0</v>
      </c>
      <c r="K31" s="182">
        <v>0</v>
      </c>
      <c r="L31" s="182">
        <v>47.7</v>
      </c>
      <c r="M31" s="182">
        <v>0</v>
      </c>
      <c r="N31" s="180">
        <f t="shared" si="4"/>
        <v>3</v>
      </c>
      <c r="O31" s="180">
        <f t="shared" si="5"/>
        <v>2</v>
      </c>
      <c r="P31" s="180">
        <f t="shared" si="6"/>
        <v>47.7</v>
      </c>
      <c r="Q31" s="181">
        <f t="shared" si="7"/>
        <v>108.4</v>
      </c>
    </row>
    <row r="32" spans="1:23" ht="26.25" customHeight="1" thickBot="1" x14ac:dyDescent="0.3">
      <c r="A32" s="247"/>
      <c r="B32" s="183" t="s">
        <v>21</v>
      </c>
      <c r="C32" s="218">
        <v>12.9</v>
      </c>
      <c r="D32" s="218">
        <v>15.8</v>
      </c>
      <c r="E32" s="218">
        <v>0</v>
      </c>
      <c r="F32" s="218">
        <v>0</v>
      </c>
      <c r="G32" s="218">
        <v>17.100000000000001</v>
      </c>
      <c r="H32" s="218">
        <v>1.8</v>
      </c>
      <c r="I32" s="218">
        <v>0</v>
      </c>
      <c r="J32" s="218">
        <v>0</v>
      </c>
      <c r="K32" s="218">
        <v>19</v>
      </c>
      <c r="L32" s="218">
        <v>0</v>
      </c>
      <c r="M32" s="218">
        <v>0</v>
      </c>
      <c r="N32" s="180">
        <f t="shared" si="4"/>
        <v>5</v>
      </c>
      <c r="O32" s="180">
        <f t="shared" si="5"/>
        <v>0</v>
      </c>
      <c r="P32" s="180">
        <f t="shared" si="6"/>
        <v>19</v>
      </c>
      <c r="Q32" s="181">
        <f t="shared" si="7"/>
        <v>66.599999999999994</v>
      </c>
    </row>
    <row r="33" spans="1:23" ht="22.5" customHeight="1" thickBot="1" x14ac:dyDescent="0.3">
      <c r="A33" s="247"/>
      <c r="B33" s="100" t="s">
        <v>19</v>
      </c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80">
        <f t="shared" si="4"/>
        <v>0</v>
      </c>
      <c r="O33" s="180">
        <f t="shared" si="5"/>
        <v>0</v>
      </c>
      <c r="P33" s="180">
        <f t="shared" si="6"/>
        <v>0</v>
      </c>
      <c r="Q33" s="181">
        <f t="shared" si="7"/>
        <v>0</v>
      </c>
    </row>
    <row r="34" spans="1:23" ht="21.75" customHeight="1" thickBot="1" x14ac:dyDescent="0.3">
      <c r="A34" s="247"/>
      <c r="B34" s="120" t="s">
        <v>22</v>
      </c>
      <c r="C34" s="147">
        <v>2.2999999999999998</v>
      </c>
      <c r="D34" s="147">
        <v>10.3</v>
      </c>
      <c r="E34" s="147">
        <v>0</v>
      </c>
      <c r="F34" s="147">
        <v>0</v>
      </c>
      <c r="G34" s="147">
        <v>1.4</v>
      </c>
      <c r="H34" s="147">
        <v>4.9000000000000004</v>
      </c>
      <c r="I34" s="147">
        <v>0</v>
      </c>
      <c r="J34" s="147">
        <v>0</v>
      </c>
      <c r="K34" s="147">
        <v>8.1999999999999993</v>
      </c>
      <c r="L34" s="147">
        <v>1.9</v>
      </c>
      <c r="M34" s="147">
        <v>0</v>
      </c>
      <c r="N34" s="180">
        <f t="shared" si="4"/>
        <v>6</v>
      </c>
      <c r="O34" s="180">
        <f t="shared" si="5"/>
        <v>0</v>
      </c>
      <c r="P34" s="180">
        <f t="shared" si="6"/>
        <v>10.3</v>
      </c>
      <c r="Q34" s="181">
        <f t="shared" si="7"/>
        <v>29</v>
      </c>
    </row>
    <row r="35" spans="1:23" ht="22.5" customHeight="1" thickBot="1" x14ac:dyDescent="0.3">
      <c r="A35" s="247"/>
      <c r="B35" s="100" t="s">
        <v>84</v>
      </c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80">
        <f t="shared" si="4"/>
        <v>0</v>
      </c>
      <c r="O35" s="180">
        <f t="shared" si="5"/>
        <v>0</v>
      </c>
      <c r="P35" s="180">
        <f t="shared" si="6"/>
        <v>0</v>
      </c>
      <c r="Q35" s="181">
        <f t="shared" si="7"/>
        <v>0</v>
      </c>
    </row>
    <row r="36" spans="1:23" ht="21" customHeight="1" thickBot="1" x14ac:dyDescent="0.3">
      <c r="A36" s="247"/>
      <c r="B36" s="100" t="s">
        <v>108</v>
      </c>
      <c r="C36" s="147">
        <v>20.3</v>
      </c>
      <c r="D36" s="147">
        <v>16.8</v>
      </c>
      <c r="E36" s="147">
        <v>0</v>
      </c>
      <c r="F36" s="147">
        <v>0</v>
      </c>
      <c r="G36" s="147">
        <v>0</v>
      </c>
      <c r="H36" s="147">
        <v>11.1</v>
      </c>
      <c r="I36" s="147">
        <v>0</v>
      </c>
      <c r="J36" s="147">
        <v>0</v>
      </c>
      <c r="K36" s="147">
        <v>18.899999999999999</v>
      </c>
      <c r="L36" s="147">
        <v>0</v>
      </c>
      <c r="M36" s="147">
        <v>0.8</v>
      </c>
      <c r="N36" s="180">
        <f t="shared" si="4"/>
        <v>5</v>
      </c>
      <c r="O36" s="180">
        <f t="shared" si="5"/>
        <v>1</v>
      </c>
      <c r="P36" s="180">
        <f t="shared" si="6"/>
        <v>20.3</v>
      </c>
      <c r="Q36" s="181">
        <f t="shared" si="7"/>
        <v>67.899999999999991</v>
      </c>
    </row>
    <row r="37" spans="1:23" ht="22.5" customHeight="1" thickBot="1" x14ac:dyDescent="0.3">
      <c r="A37" s="247"/>
      <c r="B37" s="100" t="s">
        <v>9</v>
      </c>
      <c r="C37" s="147">
        <v>0</v>
      </c>
      <c r="D37" s="147">
        <v>0</v>
      </c>
      <c r="E37" s="147">
        <v>24.6</v>
      </c>
      <c r="F37" s="147">
        <v>0</v>
      </c>
      <c r="G37" s="147">
        <v>29.2</v>
      </c>
      <c r="H37" s="147">
        <v>0</v>
      </c>
      <c r="I37" s="147">
        <v>28.7</v>
      </c>
      <c r="J37" s="147">
        <v>0</v>
      </c>
      <c r="K37" s="147">
        <v>0</v>
      </c>
      <c r="L37" s="147">
        <v>0</v>
      </c>
      <c r="M37" s="147">
        <v>0</v>
      </c>
      <c r="N37" s="180">
        <f t="shared" si="4"/>
        <v>3</v>
      </c>
      <c r="O37" s="180">
        <f t="shared" si="5"/>
        <v>3</v>
      </c>
      <c r="P37" s="180">
        <f t="shared" si="6"/>
        <v>29.2</v>
      </c>
      <c r="Q37" s="181">
        <f t="shared" si="7"/>
        <v>82.5</v>
      </c>
    </row>
    <row r="38" spans="1:23" ht="16.5" thickBot="1" x14ac:dyDescent="0.3">
      <c r="A38" s="247"/>
      <c r="B38" s="100" t="s">
        <v>14</v>
      </c>
      <c r="C38" s="147">
        <v>4.7</v>
      </c>
      <c r="D38" s="147">
        <v>30.7</v>
      </c>
      <c r="E38" s="147">
        <v>0</v>
      </c>
      <c r="F38" s="147">
        <v>0</v>
      </c>
      <c r="G38" s="147">
        <v>15.9</v>
      </c>
      <c r="H38" s="147">
        <v>21.1</v>
      </c>
      <c r="I38" s="147">
        <v>13.2</v>
      </c>
      <c r="J38" s="147">
        <v>0</v>
      </c>
      <c r="K38" s="147">
        <v>0</v>
      </c>
      <c r="L38" s="147">
        <v>0</v>
      </c>
      <c r="M38" s="147">
        <v>14.9</v>
      </c>
      <c r="N38" s="180">
        <f t="shared" si="4"/>
        <v>6</v>
      </c>
      <c r="O38" s="180">
        <f t="shared" si="5"/>
        <v>2</v>
      </c>
      <c r="P38" s="180">
        <f t="shared" si="6"/>
        <v>30.7</v>
      </c>
      <c r="Q38" s="181">
        <f t="shared" si="7"/>
        <v>100.50000000000001</v>
      </c>
    </row>
    <row r="39" spans="1:23" ht="16.5" thickBot="1" x14ac:dyDescent="0.3">
      <c r="A39" s="247"/>
      <c r="B39" s="100" t="s">
        <v>12</v>
      </c>
      <c r="C39" s="147">
        <v>32.799999999999997</v>
      </c>
      <c r="D39" s="147">
        <v>14.9</v>
      </c>
      <c r="E39" s="147">
        <v>0</v>
      </c>
      <c r="F39" s="147">
        <v>0</v>
      </c>
      <c r="G39" s="147">
        <v>13.2</v>
      </c>
      <c r="H39" s="147">
        <v>36.9</v>
      </c>
      <c r="I39" s="147">
        <v>0</v>
      </c>
      <c r="J39" s="147">
        <v>0</v>
      </c>
      <c r="K39" s="147">
        <v>28.5</v>
      </c>
      <c r="L39" s="147">
        <v>10.199999999999999</v>
      </c>
      <c r="M39" s="147">
        <v>41.3</v>
      </c>
      <c r="N39" s="180">
        <f t="shared" si="4"/>
        <v>7</v>
      </c>
      <c r="O39" s="180">
        <f t="shared" si="5"/>
        <v>4</v>
      </c>
      <c r="P39" s="180">
        <f t="shared" si="6"/>
        <v>41.3</v>
      </c>
      <c r="Q39" s="181">
        <f t="shared" si="7"/>
        <v>177.79999999999995</v>
      </c>
    </row>
    <row r="40" spans="1:23" ht="16.5" thickBot="1" x14ac:dyDescent="0.3">
      <c r="A40" s="247"/>
      <c r="B40" s="100" t="s">
        <v>113</v>
      </c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211"/>
      <c r="N40" s="180">
        <f t="shared" si="4"/>
        <v>0</v>
      </c>
      <c r="O40" s="180">
        <f t="shared" si="5"/>
        <v>0</v>
      </c>
      <c r="P40" s="180">
        <f t="shared" si="6"/>
        <v>0</v>
      </c>
      <c r="Q40" s="181">
        <f t="shared" si="7"/>
        <v>0</v>
      </c>
    </row>
    <row r="41" spans="1:23" ht="16.5" thickBot="1" x14ac:dyDescent="0.3">
      <c r="A41" s="247"/>
      <c r="B41" s="100" t="s">
        <v>18</v>
      </c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80">
        <f t="shared" si="4"/>
        <v>0</v>
      </c>
      <c r="O41" s="180">
        <f t="shared" si="5"/>
        <v>0</v>
      </c>
      <c r="P41" s="180">
        <f t="shared" si="6"/>
        <v>0</v>
      </c>
      <c r="Q41" s="181">
        <f t="shared" si="7"/>
        <v>0</v>
      </c>
    </row>
    <row r="42" spans="1:23" ht="16.5" thickBot="1" x14ac:dyDescent="0.3">
      <c r="A42" s="248"/>
      <c r="B42" s="151" t="s">
        <v>17</v>
      </c>
      <c r="C42" s="147"/>
      <c r="D42" s="147"/>
      <c r="E42" s="147"/>
      <c r="F42" s="147"/>
      <c r="G42" s="147"/>
      <c r="H42" s="147"/>
      <c r="I42" s="147"/>
      <c r="J42" s="147"/>
      <c r="K42" s="147"/>
      <c r="L42" s="147"/>
      <c r="M42" s="147"/>
      <c r="N42" s="180">
        <f t="shared" si="4"/>
        <v>0</v>
      </c>
      <c r="O42" s="180">
        <f>COUNTIF(C42:M42,"&gt;20")</f>
        <v>0</v>
      </c>
      <c r="P42" s="180">
        <f t="shared" si="6"/>
        <v>0</v>
      </c>
      <c r="Q42" s="181">
        <f t="shared" si="7"/>
        <v>0</v>
      </c>
    </row>
    <row r="43" spans="1:23" ht="15.75" x14ac:dyDescent="0.25">
      <c r="B43" s="271"/>
      <c r="C43" s="271"/>
      <c r="D43" s="271"/>
      <c r="E43" s="271"/>
      <c r="F43" s="271"/>
      <c r="G43" s="271"/>
      <c r="H43" s="271"/>
      <c r="I43" s="271"/>
      <c r="J43" s="271"/>
      <c r="K43" s="271"/>
      <c r="L43" s="271"/>
      <c r="M43" s="272"/>
      <c r="N43" s="271"/>
      <c r="O43" s="271"/>
      <c r="P43" s="144"/>
      <c r="Q43" s="173"/>
    </row>
    <row r="44" spans="1:23" ht="15.75" thickBot="1" x14ac:dyDescent="0.3">
      <c r="A44" s="156"/>
      <c r="B44" s="174"/>
      <c r="C44" s="156"/>
      <c r="D44" s="156"/>
      <c r="E44" s="156"/>
      <c r="F44" s="156"/>
      <c r="G44" s="156"/>
      <c r="H44" s="156"/>
      <c r="I44" s="156"/>
      <c r="J44" s="156"/>
      <c r="K44" s="156"/>
      <c r="L44" s="156"/>
      <c r="M44" s="201"/>
      <c r="N44" s="156"/>
      <c r="O44" s="156"/>
      <c r="P44" s="157"/>
      <c r="Q44" s="156"/>
      <c r="R44" s="156"/>
      <c r="S44" s="156"/>
      <c r="T44" s="156"/>
      <c r="U44" s="156"/>
      <c r="V44" s="156"/>
      <c r="W44" s="156"/>
    </row>
    <row r="45" spans="1:23" ht="15" customHeight="1" x14ac:dyDescent="0.25">
      <c r="A45" s="273" t="s">
        <v>1</v>
      </c>
      <c r="B45" s="275" t="s">
        <v>2</v>
      </c>
      <c r="C45" s="255" t="str">
        <f>C3</f>
        <v>HAUTEURS JOURNALIERES DE PLUIE :                                                                                                       3ème DECADE DU MOIS DE AOUT 2025</v>
      </c>
      <c r="D45" s="255"/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255"/>
      <c r="Q45" s="256"/>
    </row>
    <row r="46" spans="1:23" ht="15.75" customHeight="1" thickBot="1" x14ac:dyDescent="0.3">
      <c r="A46" s="274"/>
      <c r="B46" s="275"/>
      <c r="C46" s="257"/>
      <c r="D46" s="257"/>
      <c r="E46" s="257"/>
      <c r="F46" s="257"/>
      <c r="G46" s="257"/>
      <c r="H46" s="257"/>
      <c r="I46" s="257"/>
      <c r="J46" s="257"/>
      <c r="K46" s="257"/>
      <c r="L46" s="257"/>
      <c r="M46" s="266"/>
      <c r="N46" s="257"/>
      <c r="O46" s="257"/>
      <c r="P46" s="257"/>
      <c r="Q46" s="258"/>
    </row>
    <row r="47" spans="1:23" ht="23.25" thickBot="1" x14ac:dyDescent="0.3">
      <c r="A47" s="274"/>
      <c r="B47" s="275"/>
      <c r="C47" s="108">
        <v>21</v>
      </c>
      <c r="D47" s="108">
        <v>22</v>
      </c>
      <c r="E47" s="108">
        <v>23</v>
      </c>
      <c r="F47" s="108">
        <v>24</v>
      </c>
      <c r="G47" s="108">
        <v>25</v>
      </c>
      <c r="H47" s="108">
        <v>26</v>
      </c>
      <c r="I47" s="108">
        <v>27</v>
      </c>
      <c r="J47" s="108">
        <v>28</v>
      </c>
      <c r="K47" s="108">
        <v>29</v>
      </c>
      <c r="L47" s="145">
        <v>30</v>
      </c>
      <c r="M47" s="160">
        <v>31</v>
      </c>
      <c r="N47" s="110" t="s">
        <v>89</v>
      </c>
      <c r="O47" s="111" t="s">
        <v>147</v>
      </c>
      <c r="P47" s="112" t="s">
        <v>106</v>
      </c>
      <c r="Q47" s="113" t="s">
        <v>0</v>
      </c>
    </row>
    <row r="48" spans="1:23" ht="16.5" thickBot="1" x14ac:dyDescent="0.3">
      <c r="A48" s="259" t="s">
        <v>128</v>
      </c>
      <c r="B48" s="100" t="s">
        <v>23</v>
      </c>
      <c r="C48" s="147"/>
      <c r="D48" s="147"/>
      <c r="E48" s="147"/>
      <c r="F48" s="147"/>
      <c r="G48" s="147"/>
      <c r="H48" s="147"/>
      <c r="I48" s="147"/>
      <c r="J48" s="147"/>
      <c r="K48" s="147"/>
      <c r="L48" s="147"/>
      <c r="M48" s="147"/>
      <c r="N48" s="148">
        <f>COUNTIF(C48:M48,"&gt;0")</f>
        <v>0</v>
      </c>
      <c r="O48" s="115">
        <f>COUNTIF(C48:M48,"&gt;20")</f>
        <v>0</v>
      </c>
      <c r="P48" s="116">
        <f>MAX(C48:M48)</f>
        <v>0</v>
      </c>
      <c r="Q48" s="117">
        <f>SUM(C48:M48)</f>
        <v>0</v>
      </c>
    </row>
    <row r="49" spans="1:17" ht="16.5" thickBot="1" x14ac:dyDescent="0.3">
      <c r="A49" s="260"/>
      <c r="B49" s="100" t="s">
        <v>25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8">
        <f t="shared" ref="N49:N69" si="8">COUNTIF(C49:M49,"&gt;0")</f>
        <v>0</v>
      </c>
      <c r="O49" s="115">
        <f t="shared" ref="O49:O69" si="9">COUNTIF(C49:M49,"&gt;20")</f>
        <v>0</v>
      </c>
      <c r="P49" s="116">
        <f t="shared" ref="P49:P69" si="10">MAX(C49:M49)</f>
        <v>0</v>
      </c>
      <c r="Q49" s="117">
        <f t="shared" ref="Q49:Q69" si="11">SUM(C49:M49)</f>
        <v>0</v>
      </c>
    </row>
    <row r="50" spans="1:17" ht="16.5" thickBot="1" x14ac:dyDescent="0.3">
      <c r="A50" s="260"/>
      <c r="B50" s="100" t="s">
        <v>124</v>
      </c>
      <c r="C50" s="147"/>
      <c r="D50" s="149"/>
      <c r="E50" s="149"/>
      <c r="F50" s="149"/>
      <c r="G50" s="149"/>
      <c r="H50" s="149"/>
      <c r="I50" s="149"/>
      <c r="J50" s="149"/>
      <c r="K50" s="149"/>
      <c r="L50" s="150"/>
      <c r="M50" s="210"/>
      <c r="N50" s="148">
        <f t="shared" si="8"/>
        <v>0</v>
      </c>
      <c r="O50" s="115">
        <f t="shared" si="9"/>
        <v>0</v>
      </c>
      <c r="P50" s="116">
        <f t="shared" si="10"/>
        <v>0</v>
      </c>
      <c r="Q50" s="117">
        <f t="shared" si="11"/>
        <v>0</v>
      </c>
    </row>
    <row r="51" spans="1:17" ht="16.5" thickBot="1" x14ac:dyDescent="0.3">
      <c r="A51" s="260"/>
      <c r="B51" s="100" t="s">
        <v>125</v>
      </c>
      <c r="C51" s="147"/>
      <c r="D51" s="149"/>
      <c r="E51" s="149"/>
      <c r="F51" s="149"/>
      <c r="G51" s="149"/>
      <c r="H51" s="149"/>
      <c r="I51" s="149"/>
      <c r="J51" s="149"/>
      <c r="K51" s="149"/>
      <c r="L51" s="150"/>
      <c r="M51" s="210"/>
      <c r="N51" s="148">
        <f t="shared" si="8"/>
        <v>0</v>
      </c>
      <c r="O51" s="115">
        <f t="shared" si="9"/>
        <v>0</v>
      </c>
      <c r="P51" s="116">
        <f t="shared" si="10"/>
        <v>0</v>
      </c>
      <c r="Q51" s="117">
        <f t="shared" si="11"/>
        <v>0</v>
      </c>
    </row>
    <row r="52" spans="1:17" ht="16.5" thickBot="1" x14ac:dyDescent="0.3">
      <c r="A52" s="260"/>
      <c r="B52" s="100" t="s">
        <v>35</v>
      </c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48">
        <f t="shared" si="8"/>
        <v>0</v>
      </c>
      <c r="O52" s="115">
        <f t="shared" si="9"/>
        <v>0</v>
      </c>
      <c r="P52" s="116">
        <f t="shared" si="10"/>
        <v>0</v>
      </c>
      <c r="Q52" s="117">
        <f t="shared" si="11"/>
        <v>0</v>
      </c>
    </row>
    <row r="53" spans="1:17" ht="16.5" thickBot="1" x14ac:dyDescent="0.3">
      <c r="A53" s="260"/>
      <c r="B53" s="118" t="s">
        <v>32</v>
      </c>
      <c r="C53" s="218">
        <v>0</v>
      </c>
      <c r="D53" s="218">
        <v>19.399999999999999</v>
      </c>
      <c r="E53" s="218">
        <v>0</v>
      </c>
      <c r="F53" s="218">
        <v>0</v>
      </c>
      <c r="G53" s="218">
        <v>0</v>
      </c>
      <c r="H53" s="218">
        <v>0.2</v>
      </c>
      <c r="I53" s="218">
        <v>0</v>
      </c>
      <c r="J53" s="218">
        <v>0</v>
      </c>
      <c r="K53" s="218">
        <v>9</v>
      </c>
      <c r="L53" s="218">
        <v>0</v>
      </c>
      <c r="M53" s="218">
        <v>0</v>
      </c>
      <c r="N53" s="148">
        <f t="shared" si="8"/>
        <v>3</v>
      </c>
      <c r="O53" s="115">
        <f t="shared" si="9"/>
        <v>0</v>
      </c>
      <c r="P53" s="116">
        <f t="shared" si="10"/>
        <v>19.399999999999999</v>
      </c>
      <c r="Q53" s="117">
        <f t="shared" si="11"/>
        <v>28.599999999999998</v>
      </c>
    </row>
    <row r="54" spans="1:17" ht="16.5" thickBot="1" x14ac:dyDescent="0.3">
      <c r="A54" s="260"/>
      <c r="B54" s="119" t="s">
        <v>27</v>
      </c>
      <c r="C54" s="147">
        <v>13.9</v>
      </c>
      <c r="D54" s="147">
        <v>10.6</v>
      </c>
      <c r="E54" s="147">
        <v>0</v>
      </c>
      <c r="F54" s="147">
        <v>0</v>
      </c>
      <c r="G54" s="147">
        <v>0</v>
      </c>
      <c r="H54" s="147">
        <v>23.4</v>
      </c>
      <c r="I54" s="147">
        <v>0</v>
      </c>
      <c r="J54" s="147">
        <v>0</v>
      </c>
      <c r="K54" s="147">
        <v>0</v>
      </c>
      <c r="L54" s="147">
        <v>0</v>
      </c>
      <c r="M54" s="147">
        <v>12</v>
      </c>
      <c r="N54" s="148">
        <f t="shared" si="8"/>
        <v>4</v>
      </c>
      <c r="O54" s="115">
        <f t="shared" si="9"/>
        <v>1</v>
      </c>
      <c r="P54" s="116">
        <f t="shared" si="10"/>
        <v>23.4</v>
      </c>
      <c r="Q54" s="117">
        <f t="shared" si="11"/>
        <v>59.9</v>
      </c>
    </row>
    <row r="55" spans="1:17" ht="16.5" thickBot="1" x14ac:dyDescent="0.3">
      <c r="A55" s="260"/>
      <c r="B55" s="100" t="s">
        <v>28</v>
      </c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8">
        <f t="shared" si="8"/>
        <v>0</v>
      </c>
      <c r="O55" s="115">
        <f t="shared" si="9"/>
        <v>0</v>
      </c>
      <c r="P55" s="116">
        <f t="shared" si="10"/>
        <v>0</v>
      </c>
      <c r="Q55" s="117">
        <f t="shared" si="11"/>
        <v>0</v>
      </c>
    </row>
    <row r="56" spans="1:17" ht="16.5" thickBot="1" x14ac:dyDescent="0.3">
      <c r="A56" s="260"/>
      <c r="B56" s="151" t="s">
        <v>34</v>
      </c>
      <c r="C56" s="147">
        <v>0</v>
      </c>
      <c r="D56" s="147">
        <v>18.5</v>
      </c>
      <c r="E56" s="147">
        <v>0</v>
      </c>
      <c r="F56" s="147">
        <v>8</v>
      </c>
      <c r="G56" s="147">
        <v>0</v>
      </c>
      <c r="H56" s="147">
        <v>0</v>
      </c>
      <c r="I56" s="147">
        <v>0</v>
      </c>
      <c r="J56" s="147">
        <v>0</v>
      </c>
      <c r="K56" s="147">
        <v>7.5</v>
      </c>
      <c r="L56" s="147">
        <v>3.5</v>
      </c>
      <c r="M56" s="147">
        <v>0</v>
      </c>
      <c r="N56" s="148">
        <f t="shared" si="8"/>
        <v>4</v>
      </c>
      <c r="O56" s="115">
        <f t="shared" si="9"/>
        <v>0</v>
      </c>
      <c r="P56" s="116">
        <f t="shared" si="10"/>
        <v>18.5</v>
      </c>
      <c r="Q56" s="117">
        <f t="shared" si="11"/>
        <v>37.5</v>
      </c>
    </row>
    <row r="57" spans="1:17" ht="16.5" thickBot="1" x14ac:dyDescent="0.3">
      <c r="A57" s="260"/>
      <c r="B57" s="100" t="s">
        <v>83</v>
      </c>
      <c r="C57" s="147">
        <v>22.2</v>
      </c>
      <c r="D57" s="147">
        <v>0</v>
      </c>
      <c r="E57" s="147">
        <v>0</v>
      </c>
      <c r="F57" s="147">
        <v>0</v>
      </c>
      <c r="G57" s="147">
        <v>0</v>
      </c>
      <c r="H57" s="147">
        <v>0</v>
      </c>
      <c r="I57" s="147">
        <v>0</v>
      </c>
      <c r="J57" s="147">
        <v>0</v>
      </c>
      <c r="K57" s="147">
        <v>0</v>
      </c>
      <c r="L57" s="147">
        <v>0</v>
      </c>
      <c r="M57" s="147">
        <v>0</v>
      </c>
      <c r="N57" s="148">
        <f t="shared" si="8"/>
        <v>1</v>
      </c>
      <c r="O57" s="115">
        <f t="shared" si="9"/>
        <v>1</v>
      </c>
      <c r="P57" s="116">
        <f t="shared" si="10"/>
        <v>22.2</v>
      </c>
      <c r="Q57" s="117">
        <f t="shared" si="11"/>
        <v>22.2</v>
      </c>
    </row>
    <row r="58" spans="1:17" ht="16.5" thickBot="1" x14ac:dyDescent="0.3">
      <c r="A58" s="260"/>
      <c r="B58" s="100" t="s">
        <v>26</v>
      </c>
      <c r="C58" s="147"/>
      <c r="D58" s="147"/>
      <c r="E58" s="147"/>
      <c r="F58" s="147"/>
      <c r="G58" s="147"/>
      <c r="H58" s="147"/>
      <c r="I58" s="147"/>
      <c r="J58" s="147"/>
      <c r="K58" s="147"/>
      <c r="L58" s="147"/>
      <c r="M58" s="147"/>
      <c r="N58" s="148">
        <f t="shared" si="8"/>
        <v>0</v>
      </c>
      <c r="O58" s="115">
        <f t="shared" si="9"/>
        <v>0</v>
      </c>
      <c r="P58" s="116">
        <f t="shared" si="10"/>
        <v>0</v>
      </c>
      <c r="Q58" s="117">
        <f t="shared" si="11"/>
        <v>0</v>
      </c>
    </row>
    <row r="59" spans="1:17" ht="16.5" thickBot="1" x14ac:dyDescent="0.3">
      <c r="A59" s="260"/>
      <c r="B59" s="100" t="s">
        <v>36</v>
      </c>
      <c r="C59" s="147"/>
      <c r="D59" s="147"/>
      <c r="E59" s="147"/>
      <c r="F59" s="147"/>
      <c r="G59" s="147"/>
      <c r="H59" s="147"/>
      <c r="I59" s="147"/>
      <c r="J59" s="147"/>
      <c r="K59" s="147"/>
      <c r="L59" s="147"/>
      <c r="M59" s="147"/>
      <c r="N59" s="148">
        <f t="shared" si="8"/>
        <v>0</v>
      </c>
      <c r="O59" s="115">
        <f t="shared" si="9"/>
        <v>0</v>
      </c>
      <c r="P59" s="116">
        <f t="shared" si="10"/>
        <v>0</v>
      </c>
      <c r="Q59" s="117">
        <f t="shared" si="11"/>
        <v>0</v>
      </c>
    </row>
    <row r="60" spans="1:17" ht="16.5" thickBot="1" x14ac:dyDescent="0.3">
      <c r="A60" s="260"/>
      <c r="B60" s="100" t="s">
        <v>30</v>
      </c>
      <c r="C60" s="147"/>
      <c r="D60" s="147"/>
      <c r="E60" s="147"/>
      <c r="F60" s="147"/>
      <c r="G60" s="147"/>
      <c r="H60" s="147"/>
      <c r="I60" s="147"/>
      <c r="J60" s="147"/>
      <c r="K60" s="147"/>
      <c r="L60" s="147"/>
      <c r="M60" s="147"/>
      <c r="N60" s="148">
        <f t="shared" si="8"/>
        <v>0</v>
      </c>
      <c r="O60" s="115">
        <f t="shared" si="9"/>
        <v>0</v>
      </c>
      <c r="P60" s="116">
        <f t="shared" si="10"/>
        <v>0</v>
      </c>
      <c r="Q60" s="117">
        <f t="shared" si="11"/>
        <v>0</v>
      </c>
    </row>
    <row r="61" spans="1:17" ht="16.5" thickBot="1" x14ac:dyDescent="0.3">
      <c r="A61" s="260"/>
      <c r="B61" s="118" t="s">
        <v>31</v>
      </c>
      <c r="C61" s="147"/>
      <c r="D61" s="147"/>
      <c r="E61" s="147"/>
      <c r="F61" s="147"/>
      <c r="G61" s="147"/>
      <c r="H61" s="147"/>
      <c r="I61" s="147"/>
      <c r="J61" s="147"/>
      <c r="K61" s="147"/>
      <c r="L61" s="147"/>
      <c r="M61" s="147"/>
      <c r="N61" s="148">
        <f t="shared" si="8"/>
        <v>0</v>
      </c>
      <c r="O61" s="115">
        <f t="shared" si="9"/>
        <v>0</v>
      </c>
      <c r="P61" s="116">
        <f t="shared" si="10"/>
        <v>0</v>
      </c>
      <c r="Q61" s="117">
        <f t="shared" si="11"/>
        <v>0</v>
      </c>
    </row>
    <row r="62" spans="1:17" ht="16.5" thickBot="1" x14ac:dyDescent="0.3">
      <c r="A62" s="260"/>
      <c r="B62" s="100" t="s">
        <v>29</v>
      </c>
      <c r="C62" s="147"/>
      <c r="D62" s="147"/>
      <c r="E62" s="147"/>
      <c r="F62" s="147"/>
      <c r="G62" s="147"/>
      <c r="H62" s="147"/>
      <c r="I62" s="147"/>
      <c r="J62" s="147"/>
      <c r="K62" s="147"/>
      <c r="L62" s="147"/>
      <c r="M62" s="147"/>
      <c r="N62" s="148">
        <f t="shared" si="8"/>
        <v>0</v>
      </c>
      <c r="O62" s="115">
        <f t="shared" si="9"/>
        <v>0</v>
      </c>
      <c r="P62" s="116">
        <f t="shared" si="10"/>
        <v>0</v>
      </c>
      <c r="Q62" s="117">
        <f t="shared" si="11"/>
        <v>0</v>
      </c>
    </row>
    <row r="63" spans="1:17" ht="16.5" thickBot="1" x14ac:dyDescent="0.3">
      <c r="A63" s="260"/>
      <c r="B63" s="100" t="s">
        <v>24</v>
      </c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7"/>
      <c r="N63" s="148">
        <f t="shared" si="8"/>
        <v>0</v>
      </c>
      <c r="O63" s="115">
        <f t="shared" si="9"/>
        <v>0</v>
      </c>
      <c r="P63" s="116">
        <f t="shared" si="10"/>
        <v>0</v>
      </c>
      <c r="Q63" s="117">
        <f t="shared" si="11"/>
        <v>0</v>
      </c>
    </row>
    <row r="64" spans="1:17" ht="16.5" thickBot="1" x14ac:dyDescent="0.3">
      <c r="A64" s="260"/>
      <c r="B64" s="100" t="s">
        <v>33</v>
      </c>
      <c r="C64" s="218">
        <v>0</v>
      </c>
      <c r="D64" s="218">
        <v>0</v>
      </c>
      <c r="E64" s="218">
        <v>0</v>
      </c>
      <c r="F64" s="218">
        <v>0</v>
      </c>
      <c r="G64" s="218">
        <v>0</v>
      </c>
      <c r="H64" s="218">
        <v>0</v>
      </c>
      <c r="I64" s="218">
        <v>0</v>
      </c>
      <c r="J64" s="218">
        <v>0</v>
      </c>
      <c r="K64" s="218">
        <v>0</v>
      </c>
      <c r="L64" s="218">
        <v>0</v>
      </c>
      <c r="M64" s="218">
        <v>0</v>
      </c>
      <c r="N64" s="148">
        <f t="shared" si="8"/>
        <v>0</v>
      </c>
      <c r="O64" s="115">
        <f t="shared" si="9"/>
        <v>0</v>
      </c>
      <c r="P64" s="116">
        <f t="shared" si="10"/>
        <v>0</v>
      </c>
      <c r="Q64" s="117">
        <f t="shared" si="11"/>
        <v>0</v>
      </c>
    </row>
    <row r="65" spans="1:23" ht="16.5" thickBot="1" x14ac:dyDescent="0.3">
      <c r="A65" s="260"/>
      <c r="B65" s="120" t="s">
        <v>37</v>
      </c>
      <c r="C65" s="147"/>
      <c r="D65" s="149"/>
      <c r="E65" s="149"/>
      <c r="F65" s="149"/>
      <c r="G65" s="149"/>
      <c r="H65" s="149"/>
      <c r="I65" s="149"/>
      <c r="J65" s="149"/>
      <c r="K65" s="149"/>
      <c r="L65" s="150"/>
      <c r="M65" s="210"/>
      <c r="N65" s="148">
        <f t="shared" si="8"/>
        <v>0</v>
      </c>
      <c r="O65" s="115">
        <f t="shared" si="9"/>
        <v>0</v>
      </c>
      <c r="P65" s="116">
        <f t="shared" si="10"/>
        <v>0</v>
      </c>
      <c r="Q65" s="117">
        <f t="shared" si="11"/>
        <v>0</v>
      </c>
    </row>
    <row r="66" spans="1:23" ht="15.75" thickBot="1" x14ac:dyDescent="0.3">
      <c r="A66" s="260"/>
      <c r="B66" s="152" t="s">
        <v>148</v>
      </c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211"/>
      <c r="N66" s="148">
        <f t="shared" si="8"/>
        <v>0</v>
      </c>
      <c r="O66" s="115">
        <f t="shared" si="9"/>
        <v>0</v>
      </c>
      <c r="P66" s="116">
        <f t="shared" si="10"/>
        <v>0</v>
      </c>
      <c r="Q66" s="117">
        <f t="shared" si="11"/>
        <v>0</v>
      </c>
    </row>
    <row r="67" spans="1:23" ht="16.5" thickBot="1" x14ac:dyDescent="0.3">
      <c r="A67" s="260"/>
      <c r="B67" s="153" t="s">
        <v>149</v>
      </c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211"/>
      <c r="N67" s="148">
        <f t="shared" si="8"/>
        <v>0</v>
      </c>
      <c r="O67" s="115">
        <f t="shared" si="9"/>
        <v>0</v>
      </c>
      <c r="P67" s="116">
        <f t="shared" si="10"/>
        <v>0</v>
      </c>
      <c r="Q67" s="117">
        <f t="shared" si="11"/>
        <v>0</v>
      </c>
    </row>
    <row r="68" spans="1:23" ht="16.5" thickBot="1" x14ac:dyDescent="0.3">
      <c r="A68" s="260"/>
      <c r="B68" s="153" t="s">
        <v>150</v>
      </c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211"/>
      <c r="N68" s="148">
        <f t="shared" si="8"/>
        <v>0</v>
      </c>
      <c r="O68" s="115">
        <f t="shared" si="9"/>
        <v>0</v>
      </c>
      <c r="P68" s="116">
        <f t="shared" si="10"/>
        <v>0</v>
      </c>
      <c r="Q68" s="117">
        <f t="shared" si="11"/>
        <v>0</v>
      </c>
    </row>
    <row r="69" spans="1:23" ht="16.5" thickBot="1" x14ac:dyDescent="0.3">
      <c r="A69" s="261"/>
      <c r="B69" s="120" t="s">
        <v>151</v>
      </c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211"/>
      <c r="N69" s="148">
        <f t="shared" si="8"/>
        <v>0</v>
      </c>
      <c r="O69" s="115">
        <f t="shared" si="9"/>
        <v>0</v>
      </c>
      <c r="P69" s="116">
        <f t="shared" si="10"/>
        <v>0</v>
      </c>
      <c r="Q69" s="117">
        <f t="shared" si="11"/>
        <v>0</v>
      </c>
    </row>
    <row r="70" spans="1:23" ht="15.75" x14ac:dyDescent="0.25"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2"/>
      <c r="N70" s="271"/>
      <c r="O70" s="271"/>
      <c r="P70" s="271"/>
      <c r="Q70" s="271"/>
    </row>
    <row r="71" spans="1:23" ht="15.75" thickBot="1" x14ac:dyDescent="0.3">
      <c r="A71" s="156"/>
      <c r="B71" s="174"/>
      <c r="C71" s="156"/>
      <c r="D71" s="156"/>
      <c r="E71" s="156"/>
      <c r="F71" s="156"/>
      <c r="G71" s="156"/>
      <c r="H71" s="156"/>
      <c r="I71" s="156"/>
      <c r="J71" s="156"/>
      <c r="K71" s="156"/>
      <c r="L71" s="156"/>
      <c r="M71" s="201"/>
      <c r="N71" s="156"/>
      <c r="O71" s="156"/>
      <c r="P71" s="157"/>
      <c r="Q71" s="156"/>
      <c r="R71" s="156"/>
      <c r="S71" s="156"/>
      <c r="T71" s="156"/>
      <c r="U71" s="156"/>
      <c r="V71" s="156"/>
      <c r="W71" s="156"/>
    </row>
    <row r="72" spans="1:23" ht="15" customHeight="1" x14ac:dyDescent="0.25">
      <c r="A72" s="224" t="s">
        <v>1</v>
      </c>
      <c r="B72" s="252" t="s">
        <v>2</v>
      </c>
      <c r="C72" s="255" t="str">
        <f>C3</f>
        <v>HAUTEURS JOURNALIERES DE PLUIE :                                                                                                       3ème DECADE DU MOIS DE AOUT 2025</v>
      </c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6"/>
    </row>
    <row r="73" spans="1:23" ht="15.75" customHeight="1" thickBot="1" x14ac:dyDescent="0.3">
      <c r="A73" s="225"/>
      <c r="B73" s="253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66"/>
      <c r="N73" s="257"/>
      <c r="O73" s="257"/>
      <c r="P73" s="257"/>
      <c r="Q73" s="258"/>
    </row>
    <row r="74" spans="1:23" ht="23.25" thickBot="1" x14ac:dyDescent="0.3">
      <c r="A74" s="225"/>
      <c r="B74" s="254"/>
      <c r="C74" s="107">
        <v>21</v>
      </c>
      <c r="D74" s="108">
        <v>22</v>
      </c>
      <c r="E74" s="108">
        <v>23</v>
      </c>
      <c r="F74" s="108">
        <v>24</v>
      </c>
      <c r="G74" s="108">
        <v>25</v>
      </c>
      <c r="H74" s="108">
        <v>26</v>
      </c>
      <c r="I74" s="108">
        <v>27</v>
      </c>
      <c r="J74" s="108">
        <v>28</v>
      </c>
      <c r="K74" s="108">
        <v>29</v>
      </c>
      <c r="L74" s="145">
        <v>30</v>
      </c>
      <c r="M74" s="160">
        <v>31</v>
      </c>
      <c r="N74" s="110" t="s">
        <v>89</v>
      </c>
      <c r="O74" s="111" t="s">
        <v>147</v>
      </c>
      <c r="P74" s="112" t="s">
        <v>106</v>
      </c>
      <c r="Q74" s="113" t="s">
        <v>0</v>
      </c>
    </row>
    <row r="75" spans="1:23" ht="16.5" thickBot="1" x14ac:dyDescent="0.3">
      <c r="A75" s="246" t="s">
        <v>129</v>
      </c>
      <c r="B75" s="100" t="s">
        <v>38</v>
      </c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7"/>
      <c r="N75" s="184">
        <f>COUNTIF(C75:M75,"&gt;0")</f>
        <v>0</v>
      </c>
      <c r="O75" s="184">
        <f>COUNTIF(C75:M75,"&gt;20")</f>
        <v>0</v>
      </c>
      <c r="P75" s="116">
        <f>MAX(C75:M75)</f>
        <v>0</v>
      </c>
      <c r="Q75" s="117">
        <f>SUM(C75:M75)</f>
        <v>0</v>
      </c>
    </row>
    <row r="76" spans="1:23" ht="16.5" thickBot="1" x14ac:dyDescent="0.3">
      <c r="A76" s="247"/>
      <c r="B76" s="151" t="s">
        <v>120</v>
      </c>
      <c r="C76" s="147">
        <v>0</v>
      </c>
      <c r="D76" s="147">
        <v>0</v>
      </c>
      <c r="E76" s="147">
        <v>0</v>
      </c>
      <c r="F76" s="147">
        <v>0</v>
      </c>
      <c r="G76" s="147">
        <v>0</v>
      </c>
      <c r="H76" s="147">
        <v>0</v>
      </c>
      <c r="I76" s="147">
        <v>0</v>
      </c>
      <c r="J76" s="147">
        <v>0</v>
      </c>
      <c r="K76" s="147">
        <v>0</v>
      </c>
      <c r="L76" s="147">
        <v>0</v>
      </c>
      <c r="M76" s="147">
        <v>0</v>
      </c>
      <c r="N76" s="184">
        <f>COUNTIF(C76:M76,"&gt;0")</f>
        <v>0</v>
      </c>
      <c r="O76" s="184">
        <f t="shared" ref="O76:O91" si="12">COUNTIF(C76:M76,"&gt;20")</f>
        <v>0</v>
      </c>
      <c r="P76" s="116">
        <f t="shared" ref="P76:P91" si="13">MAX(C76:M76)</f>
        <v>0</v>
      </c>
      <c r="Q76" s="117">
        <f t="shared" ref="Q76:Q91" si="14">SUM(C76:M76)</f>
        <v>0</v>
      </c>
    </row>
    <row r="77" spans="1:23" ht="16.5" thickBot="1" x14ac:dyDescent="0.3">
      <c r="A77" s="247"/>
      <c r="B77" s="178" t="s">
        <v>121</v>
      </c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84">
        <f t="shared" ref="N77:N91" si="15">COUNTIF(C77:M77,"&gt;0")</f>
        <v>0</v>
      </c>
      <c r="O77" s="184">
        <f t="shared" si="12"/>
        <v>0</v>
      </c>
      <c r="P77" s="116">
        <f t="shared" si="13"/>
        <v>0</v>
      </c>
      <c r="Q77" s="117">
        <f t="shared" si="14"/>
        <v>0</v>
      </c>
    </row>
    <row r="78" spans="1:23" ht="16.5" thickBot="1" x14ac:dyDescent="0.3">
      <c r="A78" s="247"/>
      <c r="B78" s="178" t="s">
        <v>40</v>
      </c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84">
        <f t="shared" si="15"/>
        <v>0</v>
      </c>
      <c r="O78" s="184">
        <f t="shared" si="12"/>
        <v>0</v>
      </c>
      <c r="P78" s="116">
        <f t="shared" si="13"/>
        <v>0</v>
      </c>
      <c r="Q78" s="117">
        <f t="shared" si="14"/>
        <v>0</v>
      </c>
    </row>
    <row r="79" spans="1:23" ht="16.5" thickBot="1" x14ac:dyDescent="0.3">
      <c r="A79" s="247"/>
      <c r="B79" s="178" t="s">
        <v>152</v>
      </c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212"/>
      <c r="N79" s="184">
        <f t="shared" si="15"/>
        <v>0</v>
      </c>
      <c r="O79" s="184">
        <f t="shared" si="12"/>
        <v>0</v>
      </c>
      <c r="P79" s="116">
        <f t="shared" si="13"/>
        <v>0</v>
      </c>
      <c r="Q79" s="117">
        <f t="shared" si="14"/>
        <v>0</v>
      </c>
    </row>
    <row r="80" spans="1:23" ht="16.5" thickBot="1" x14ac:dyDescent="0.3">
      <c r="A80" s="247"/>
      <c r="B80" s="178" t="s">
        <v>153</v>
      </c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212"/>
      <c r="N80" s="184">
        <f t="shared" si="15"/>
        <v>0</v>
      </c>
      <c r="O80" s="184">
        <f t="shared" si="12"/>
        <v>0</v>
      </c>
      <c r="P80" s="116">
        <f t="shared" si="13"/>
        <v>0</v>
      </c>
      <c r="Q80" s="117">
        <f t="shared" si="14"/>
        <v>0</v>
      </c>
    </row>
    <row r="81" spans="1:23" ht="16.5" thickBot="1" x14ac:dyDescent="0.3">
      <c r="A81" s="247"/>
      <c r="B81" s="178" t="s">
        <v>39</v>
      </c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84">
        <f t="shared" si="15"/>
        <v>0</v>
      </c>
      <c r="O81" s="184">
        <f t="shared" si="12"/>
        <v>0</v>
      </c>
      <c r="P81" s="116">
        <f t="shared" si="13"/>
        <v>0</v>
      </c>
      <c r="Q81" s="117">
        <f t="shared" si="14"/>
        <v>0</v>
      </c>
    </row>
    <row r="82" spans="1:23" ht="16.5" thickBot="1" x14ac:dyDescent="0.3">
      <c r="A82" s="247"/>
      <c r="B82" s="100" t="s">
        <v>42</v>
      </c>
      <c r="C82" s="185">
        <v>0</v>
      </c>
      <c r="D82" s="185">
        <v>0</v>
      </c>
      <c r="E82" s="185">
        <v>0</v>
      </c>
      <c r="F82" s="185">
        <v>0</v>
      </c>
      <c r="G82" s="185">
        <v>0</v>
      </c>
      <c r="H82" s="185">
        <v>0</v>
      </c>
      <c r="I82" s="185">
        <v>0</v>
      </c>
      <c r="J82" s="185">
        <v>0</v>
      </c>
      <c r="K82" s="185">
        <v>0</v>
      </c>
      <c r="L82" s="185">
        <v>0</v>
      </c>
      <c r="M82" s="185">
        <v>0</v>
      </c>
      <c r="N82" s="184">
        <f t="shared" si="15"/>
        <v>0</v>
      </c>
      <c r="O82" s="184">
        <f t="shared" si="12"/>
        <v>0</v>
      </c>
      <c r="P82" s="116">
        <f t="shared" si="13"/>
        <v>0</v>
      </c>
      <c r="Q82" s="117">
        <f t="shared" si="14"/>
        <v>0</v>
      </c>
    </row>
    <row r="83" spans="1:23" ht="16.5" thickBot="1" x14ac:dyDescent="0.3">
      <c r="A83" s="247"/>
      <c r="B83" s="100" t="s">
        <v>43</v>
      </c>
      <c r="C83" s="186"/>
      <c r="D83" s="186"/>
      <c r="E83" s="186"/>
      <c r="F83" s="186"/>
      <c r="G83" s="186"/>
      <c r="H83" s="186"/>
      <c r="I83" s="186"/>
      <c r="J83" s="186"/>
      <c r="K83" s="186"/>
      <c r="L83" s="186"/>
      <c r="M83" s="186"/>
      <c r="N83" s="184">
        <f t="shared" si="15"/>
        <v>0</v>
      </c>
      <c r="O83" s="184">
        <f t="shared" si="12"/>
        <v>0</v>
      </c>
      <c r="P83" s="116">
        <f t="shared" si="13"/>
        <v>0</v>
      </c>
      <c r="Q83" s="117">
        <f t="shared" si="14"/>
        <v>0</v>
      </c>
    </row>
    <row r="84" spans="1:23" ht="16.5" thickBot="1" x14ac:dyDescent="0.3">
      <c r="A84" s="247"/>
      <c r="B84" s="100" t="s">
        <v>45</v>
      </c>
      <c r="C84" s="147"/>
      <c r="D84" s="147"/>
      <c r="E84" s="147"/>
      <c r="F84" s="147"/>
      <c r="G84" s="147"/>
      <c r="H84" s="147"/>
      <c r="I84" s="147"/>
      <c r="J84" s="147"/>
      <c r="K84" s="147"/>
      <c r="L84" s="147"/>
      <c r="M84" s="147"/>
      <c r="N84" s="184">
        <f t="shared" si="15"/>
        <v>0</v>
      </c>
      <c r="O84" s="184">
        <f t="shared" si="12"/>
        <v>0</v>
      </c>
      <c r="P84" s="116">
        <f t="shared" si="13"/>
        <v>0</v>
      </c>
      <c r="Q84" s="117">
        <f t="shared" si="14"/>
        <v>0</v>
      </c>
    </row>
    <row r="85" spans="1:23" ht="16.5" thickBot="1" x14ac:dyDescent="0.3">
      <c r="A85" s="247"/>
      <c r="B85" s="100" t="s">
        <v>44</v>
      </c>
      <c r="C85" s="147">
        <v>0</v>
      </c>
      <c r="D85" s="147">
        <v>0</v>
      </c>
      <c r="E85" s="147">
        <v>0</v>
      </c>
      <c r="F85" s="147">
        <v>0</v>
      </c>
      <c r="G85" s="147">
        <v>0</v>
      </c>
      <c r="H85" s="147">
        <v>0</v>
      </c>
      <c r="I85" s="147">
        <v>0</v>
      </c>
      <c r="J85" s="147">
        <v>0</v>
      </c>
      <c r="K85" s="147">
        <v>0</v>
      </c>
      <c r="L85" s="147">
        <v>0</v>
      </c>
      <c r="M85" s="147">
        <v>0</v>
      </c>
      <c r="N85" s="184">
        <f t="shared" si="15"/>
        <v>0</v>
      </c>
      <c r="O85" s="184">
        <f t="shared" si="12"/>
        <v>0</v>
      </c>
      <c r="P85" s="116">
        <f t="shared" si="13"/>
        <v>0</v>
      </c>
      <c r="Q85" s="117">
        <f t="shared" si="14"/>
        <v>0</v>
      </c>
    </row>
    <row r="86" spans="1:23" ht="16.5" thickBot="1" x14ac:dyDescent="0.3">
      <c r="A86" s="247"/>
      <c r="B86" s="100" t="s">
        <v>41</v>
      </c>
      <c r="C86" s="147"/>
      <c r="D86" s="149"/>
      <c r="E86" s="149"/>
      <c r="F86" s="149"/>
      <c r="G86" s="149"/>
      <c r="H86" s="149"/>
      <c r="I86" s="149"/>
      <c r="J86" s="149"/>
      <c r="K86" s="149"/>
      <c r="L86" s="150"/>
      <c r="M86" s="210"/>
      <c r="N86" s="184">
        <f t="shared" si="15"/>
        <v>0</v>
      </c>
      <c r="O86" s="184">
        <f t="shared" si="12"/>
        <v>0</v>
      </c>
      <c r="P86" s="116">
        <f t="shared" si="13"/>
        <v>0</v>
      </c>
      <c r="Q86" s="117">
        <f t="shared" si="14"/>
        <v>0</v>
      </c>
    </row>
    <row r="87" spans="1:23" ht="16.5" thickBot="1" x14ac:dyDescent="0.3">
      <c r="A87" s="247"/>
      <c r="B87" s="100" t="s">
        <v>46</v>
      </c>
      <c r="C87" s="147"/>
      <c r="D87" s="147"/>
      <c r="E87" s="147"/>
      <c r="F87" s="147"/>
      <c r="G87" s="147"/>
      <c r="H87" s="147"/>
      <c r="I87" s="147"/>
      <c r="J87" s="147"/>
      <c r="K87" s="147"/>
      <c r="L87" s="147"/>
      <c r="M87" s="147"/>
      <c r="N87" s="184">
        <f t="shared" si="15"/>
        <v>0</v>
      </c>
      <c r="O87" s="184">
        <f t="shared" si="12"/>
        <v>0</v>
      </c>
      <c r="P87" s="116">
        <f t="shared" si="13"/>
        <v>0</v>
      </c>
      <c r="Q87" s="117">
        <f t="shared" si="14"/>
        <v>0</v>
      </c>
    </row>
    <row r="88" spans="1:23" ht="16.5" thickBot="1" x14ac:dyDescent="0.3">
      <c r="A88" s="247"/>
      <c r="B88" s="100" t="s">
        <v>122</v>
      </c>
      <c r="C88" s="147"/>
      <c r="D88" s="149"/>
      <c r="E88" s="149"/>
      <c r="F88" s="149"/>
      <c r="G88" s="149"/>
      <c r="H88" s="149"/>
      <c r="I88" s="149"/>
      <c r="J88" s="149"/>
      <c r="K88" s="149"/>
      <c r="L88" s="150"/>
      <c r="M88" s="210"/>
      <c r="N88" s="184">
        <f t="shared" si="15"/>
        <v>0</v>
      </c>
      <c r="O88" s="184">
        <f t="shared" si="12"/>
        <v>0</v>
      </c>
      <c r="P88" s="116">
        <f t="shared" si="13"/>
        <v>0</v>
      </c>
      <c r="Q88" s="117">
        <f t="shared" si="14"/>
        <v>0</v>
      </c>
    </row>
    <row r="89" spans="1:23" ht="16.5" thickBot="1" x14ac:dyDescent="0.3">
      <c r="A89" s="247"/>
      <c r="B89" s="100" t="s">
        <v>123</v>
      </c>
      <c r="C89" s="187"/>
      <c r="D89" s="188"/>
      <c r="E89" s="188"/>
      <c r="F89" s="188"/>
      <c r="G89" s="188"/>
      <c r="H89" s="188"/>
      <c r="I89" s="188"/>
      <c r="J89" s="188"/>
      <c r="K89" s="188"/>
      <c r="L89" s="189"/>
      <c r="M89" s="210"/>
      <c r="N89" s="184">
        <f t="shared" si="15"/>
        <v>0</v>
      </c>
      <c r="O89" s="184">
        <f t="shared" si="12"/>
        <v>0</v>
      </c>
      <c r="P89" s="116">
        <f t="shared" si="13"/>
        <v>0</v>
      </c>
      <c r="Q89" s="117">
        <f t="shared" si="14"/>
        <v>0</v>
      </c>
    </row>
    <row r="90" spans="1:23" ht="16.5" thickBot="1" x14ac:dyDescent="0.3">
      <c r="A90" s="247"/>
      <c r="B90" s="100" t="s">
        <v>143</v>
      </c>
      <c r="C90" s="187"/>
      <c r="D90" s="187"/>
      <c r="E90" s="187"/>
      <c r="F90" s="187"/>
      <c r="G90" s="187"/>
      <c r="H90" s="187"/>
      <c r="I90" s="187"/>
      <c r="J90" s="187"/>
      <c r="K90" s="187"/>
      <c r="L90" s="187"/>
      <c r="M90" s="187"/>
      <c r="N90" s="184">
        <f t="shared" si="15"/>
        <v>0</v>
      </c>
      <c r="O90" s="184">
        <f t="shared" si="12"/>
        <v>0</v>
      </c>
      <c r="P90" s="116">
        <f t="shared" si="13"/>
        <v>0</v>
      </c>
      <c r="Q90" s="117">
        <f t="shared" si="14"/>
        <v>0</v>
      </c>
    </row>
    <row r="91" spans="1:23" ht="16.5" thickBot="1" x14ac:dyDescent="0.3">
      <c r="A91" s="248"/>
      <c r="B91" s="100" t="s">
        <v>145</v>
      </c>
      <c r="C91" s="187">
        <v>0</v>
      </c>
      <c r="D91" s="187">
        <v>0</v>
      </c>
      <c r="E91" s="187">
        <v>0</v>
      </c>
      <c r="F91" s="187">
        <v>0</v>
      </c>
      <c r="G91" s="187">
        <v>0</v>
      </c>
      <c r="H91" s="187">
        <v>0</v>
      </c>
      <c r="I91" s="187">
        <v>7.4</v>
      </c>
      <c r="J91" s="187">
        <v>0</v>
      </c>
      <c r="K91" s="187">
        <v>0</v>
      </c>
      <c r="L91" s="187">
        <v>0</v>
      </c>
      <c r="M91" s="187">
        <v>0</v>
      </c>
      <c r="N91" s="184">
        <f t="shared" si="15"/>
        <v>1</v>
      </c>
      <c r="O91" s="184">
        <f t="shared" si="12"/>
        <v>0</v>
      </c>
      <c r="P91" s="116">
        <f t="shared" si="13"/>
        <v>7.4</v>
      </c>
      <c r="Q91" s="117">
        <f t="shared" si="14"/>
        <v>7.4</v>
      </c>
    </row>
    <row r="92" spans="1:23" ht="15.75" x14ac:dyDescent="0.25">
      <c r="B92" s="271"/>
      <c r="C92" s="271"/>
      <c r="D92" s="271"/>
      <c r="E92" s="271"/>
      <c r="F92" s="271"/>
      <c r="G92" s="271"/>
      <c r="H92" s="271"/>
      <c r="I92" s="271"/>
      <c r="J92" s="271"/>
      <c r="K92" s="271"/>
      <c r="L92" s="271"/>
      <c r="M92" s="272"/>
      <c r="N92" s="271"/>
      <c r="O92" s="271"/>
      <c r="P92" s="271"/>
      <c r="Q92" s="271"/>
    </row>
    <row r="93" spans="1:23" ht="15.75" thickBot="1" x14ac:dyDescent="0.3">
      <c r="A93" s="156"/>
      <c r="B93" s="174"/>
      <c r="C93" s="156"/>
      <c r="D93" s="156"/>
      <c r="E93" s="156"/>
      <c r="F93" s="156"/>
      <c r="G93" s="156"/>
      <c r="H93" s="156"/>
      <c r="I93" s="156"/>
      <c r="J93" s="156"/>
      <c r="K93" s="156"/>
      <c r="L93" s="156"/>
      <c r="M93" s="201"/>
      <c r="N93" s="156"/>
      <c r="O93" s="156"/>
      <c r="P93" s="157"/>
      <c r="Q93" s="156"/>
      <c r="R93" s="156"/>
      <c r="S93" s="156"/>
      <c r="T93" s="156"/>
      <c r="U93" s="156"/>
      <c r="V93" s="156"/>
      <c r="W93" s="156"/>
    </row>
    <row r="94" spans="1:23" ht="15" customHeight="1" x14ac:dyDescent="0.25">
      <c r="A94" s="224" t="s">
        <v>1</v>
      </c>
      <c r="B94" s="252" t="s">
        <v>2</v>
      </c>
      <c r="C94" s="255" t="str">
        <f>C3</f>
        <v>HAUTEURS JOURNALIERES DE PLUIE :                                                                                                       3ème DECADE DU MOIS DE AOUT 2025</v>
      </c>
      <c r="D94" s="255"/>
      <c r="E94" s="255"/>
      <c r="F94" s="255"/>
      <c r="G94" s="255"/>
      <c r="H94" s="255"/>
      <c r="I94" s="255"/>
      <c r="J94" s="255"/>
      <c r="K94" s="255"/>
      <c r="L94" s="255"/>
      <c r="M94" s="255"/>
      <c r="N94" s="255"/>
      <c r="O94" s="255"/>
      <c r="P94" s="255"/>
      <c r="Q94" s="256"/>
    </row>
    <row r="95" spans="1:23" ht="15.75" customHeight="1" thickBot="1" x14ac:dyDescent="0.3">
      <c r="A95" s="225"/>
      <c r="B95" s="253"/>
      <c r="C95" s="266"/>
      <c r="D95" s="266"/>
      <c r="E95" s="266"/>
      <c r="F95" s="266"/>
      <c r="G95" s="266"/>
      <c r="H95" s="266"/>
      <c r="I95" s="266"/>
      <c r="J95" s="266"/>
      <c r="K95" s="266"/>
      <c r="L95" s="266"/>
      <c r="M95" s="266"/>
      <c r="N95" s="266"/>
      <c r="O95" s="266"/>
      <c r="P95" s="266"/>
      <c r="Q95" s="267"/>
    </row>
    <row r="96" spans="1:23" ht="23.25" thickBot="1" x14ac:dyDescent="0.3">
      <c r="A96" s="225"/>
      <c r="B96" s="254"/>
      <c r="C96" s="107">
        <v>21</v>
      </c>
      <c r="D96" s="108">
        <v>22</v>
      </c>
      <c r="E96" s="108">
        <v>23</v>
      </c>
      <c r="F96" s="108">
        <v>24</v>
      </c>
      <c r="G96" s="108">
        <v>25</v>
      </c>
      <c r="H96" s="108">
        <v>26</v>
      </c>
      <c r="I96" s="108">
        <v>27</v>
      </c>
      <c r="J96" s="108">
        <v>28</v>
      </c>
      <c r="K96" s="108">
        <v>29</v>
      </c>
      <c r="L96" s="145">
        <v>30</v>
      </c>
      <c r="M96" s="160">
        <v>31</v>
      </c>
      <c r="N96" s="110" t="s">
        <v>89</v>
      </c>
      <c r="O96" s="110" t="s">
        <v>147</v>
      </c>
      <c r="P96" s="190" t="s">
        <v>106</v>
      </c>
      <c r="Q96" s="191" t="s">
        <v>0</v>
      </c>
    </row>
    <row r="97" spans="1:23" ht="16.5" thickBot="1" x14ac:dyDescent="0.3">
      <c r="A97" s="246" t="s">
        <v>130</v>
      </c>
      <c r="B97" s="120" t="s">
        <v>47</v>
      </c>
      <c r="C97" s="165">
        <v>0</v>
      </c>
      <c r="D97" s="165">
        <v>0</v>
      </c>
      <c r="E97" s="165">
        <v>0</v>
      </c>
      <c r="F97" s="165">
        <v>0</v>
      </c>
      <c r="G97" s="165">
        <v>0</v>
      </c>
      <c r="H97" s="165">
        <v>0</v>
      </c>
      <c r="I97" s="165">
        <v>0</v>
      </c>
      <c r="J97" s="165">
        <v>0</v>
      </c>
      <c r="K97" s="165">
        <v>0</v>
      </c>
      <c r="L97" s="165">
        <v>0</v>
      </c>
      <c r="M97" s="165">
        <v>0</v>
      </c>
      <c r="N97" s="192">
        <f>COUNTIF(C97:M97,"&gt;0")</f>
        <v>0</v>
      </c>
      <c r="O97" s="192">
        <f>COUNTIF(C97:M97,"&gt;20")</f>
        <v>0</v>
      </c>
      <c r="P97" s="116">
        <f>MAX(C97:M97)</f>
        <v>0</v>
      </c>
      <c r="Q97" s="116">
        <f>SUM(C97:M97)</f>
        <v>0</v>
      </c>
    </row>
    <row r="98" spans="1:23" ht="16.5" thickBot="1" x14ac:dyDescent="0.3">
      <c r="A98" s="247"/>
      <c r="B98" s="193" t="s">
        <v>48</v>
      </c>
      <c r="C98" s="147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92">
        <f t="shared" ref="N98:N109" si="16">COUNTIF(C98:M98,"&gt;0")</f>
        <v>0</v>
      </c>
      <c r="O98" s="192">
        <f t="shared" ref="O98:O109" si="17">COUNTIF(C98:M98,"&gt;20")</f>
        <v>0</v>
      </c>
      <c r="P98" s="116">
        <f t="shared" ref="P98:P109" si="18">MAX(C98:M98)</f>
        <v>0</v>
      </c>
      <c r="Q98" s="116">
        <f t="shared" ref="Q98:Q109" si="19">SUM(C98:M98)</f>
        <v>0</v>
      </c>
    </row>
    <row r="99" spans="1:23" ht="16.5" thickBot="1" x14ac:dyDescent="0.3">
      <c r="A99" s="247"/>
      <c r="B99" s="100" t="s">
        <v>49</v>
      </c>
      <c r="C99" s="147"/>
      <c r="D99" s="147"/>
      <c r="E99" s="147"/>
      <c r="F99" s="147"/>
      <c r="G99" s="147"/>
      <c r="H99" s="147"/>
      <c r="I99" s="147"/>
      <c r="J99" s="147"/>
      <c r="K99" s="147"/>
      <c r="L99" s="147"/>
      <c r="M99" s="211"/>
      <c r="N99" s="192">
        <f t="shared" si="16"/>
        <v>0</v>
      </c>
      <c r="O99" s="192">
        <f t="shared" si="17"/>
        <v>0</v>
      </c>
      <c r="P99" s="116">
        <f t="shared" si="18"/>
        <v>0</v>
      </c>
      <c r="Q99" s="116">
        <f t="shared" si="19"/>
        <v>0</v>
      </c>
    </row>
    <row r="100" spans="1:23" ht="16.5" thickBot="1" x14ac:dyDescent="0.3">
      <c r="A100" s="247"/>
      <c r="B100" s="100" t="s">
        <v>50</v>
      </c>
      <c r="C100" s="147"/>
      <c r="D100" s="147"/>
      <c r="E100" s="147"/>
      <c r="F100" s="147"/>
      <c r="G100" s="147"/>
      <c r="H100" s="147"/>
      <c r="I100" s="147"/>
      <c r="J100" s="147"/>
      <c r="K100" s="147"/>
      <c r="L100" s="147"/>
      <c r="M100" s="147"/>
      <c r="N100" s="192">
        <f t="shared" si="16"/>
        <v>0</v>
      </c>
      <c r="O100" s="192">
        <f t="shared" si="17"/>
        <v>0</v>
      </c>
      <c r="P100" s="116">
        <f t="shared" si="18"/>
        <v>0</v>
      </c>
      <c r="Q100" s="116">
        <f t="shared" si="19"/>
        <v>0</v>
      </c>
    </row>
    <row r="101" spans="1:23" ht="16.5" thickBot="1" x14ac:dyDescent="0.3">
      <c r="A101" s="247"/>
      <c r="B101" s="100" t="s">
        <v>53</v>
      </c>
      <c r="C101" s="147"/>
      <c r="D101" s="147"/>
      <c r="E101" s="147"/>
      <c r="F101" s="147"/>
      <c r="G101" s="147"/>
      <c r="H101" s="147"/>
      <c r="I101" s="147"/>
      <c r="J101" s="147"/>
      <c r="K101" s="147"/>
      <c r="L101" s="147"/>
      <c r="M101" s="147"/>
      <c r="N101" s="192">
        <f t="shared" si="16"/>
        <v>0</v>
      </c>
      <c r="O101" s="192">
        <f t="shared" si="17"/>
        <v>0</v>
      </c>
      <c r="P101" s="116">
        <f t="shared" si="18"/>
        <v>0</v>
      </c>
      <c r="Q101" s="116">
        <f t="shared" si="19"/>
        <v>0</v>
      </c>
    </row>
    <row r="102" spans="1:23" ht="16.5" thickBot="1" x14ac:dyDescent="0.3">
      <c r="A102" s="247"/>
      <c r="B102" s="100" t="s">
        <v>51</v>
      </c>
      <c r="C102" s="147"/>
      <c r="D102" s="147"/>
      <c r="E102" s="147"/>
      <c r="F102" s="147"/>
      <c r="G102" s="147"/>
      <c r="H102" s="147"/>
      <c r="I102" s="147"/>
      <c r="J102" s="147"/>
      <c r="K102" s="147"/>
      <c r="L102" s="147"/>
      <c r="M102" s="147"/>
      <c r="N102" s="192">
        <f t="shared" si="16"/>
        <v>0</v>
      </c>
      <c r="O102" s="192">
        <f t="shared" si="17"/>
        <v>0</v>
      </c>
      <c r="P102" s="116">
        <f t="shared" si="18"/>
        <v>0</v>
      </c>
      <c r="Q102" s="116">
        <f t="shared" si="19"/>
        <v>0</v>
      </c>
    </row>
    <row r="103" spans="1:23" ht="16.5" thickBot="1" x14ac:dyDescent="0.3">
      <c r="A103" s="247"/>
      <c r="B103" s="100" t="s">
        <v>57</v>
      </c>
      <c r="C103" s="147"/>
      <c r="D103" s="147"/>
      <c r="E103" s="147"/>
      <c r="F103" s="147"/>
      <c r="G103" s="147"/>
      <c r="H103" s="147"/>
      <c r="I103" s="147"/>
      <c r="J103" s="147"/>
      <c r="K103" s="147"/>
      <c r="L103" s="147"/>
      <c r="M103" s="147"/>
      <c r="N103" s="192">
        <f t="shared" si="16"/>
        <v>0</v>
      </c>
      <c r="O103" s="192">
        <f t="shared" si="17"/>
        <v>0</v>
      </c>
      <c r="P103" s="116">
        <f t="shared" si="18"/>
        <v>0</v>
      </c>
      <c r="Q103" s="116">
        <f t="shared" si="19"/>
        <v>0</v>
      </c>
    </row>
    <row r="104" spans="1:23" ht="16.5" thickBot="1" x14ac:dyDescent="0.3">
      <c r="A104" s="247"/>
      <c r="B104" s="100" t="s">
        <v>56</v>
      </c>
      <c r="C104" s="147"/>
      <c r="D104" s="147"/>
      <c r="E104" s="147"/>
      <c r="F104" s="147"/>
      <c r="G104" s="147"/>
      <c r="H104" s="147"/>
      <c r="I104" s="147"/>
      <c r="J104" s="147"/>
      <c r="K104" s="147"/>
      <c r="L104" s="147"/>
      <c r="M104" s="211"/>
      <c r="N104" s="192">
        <f t="shared" si="16"/>
        <v>0</v>
      </c>
      <c r="O104" s="192">
        <f t="shared" si="17"/>
        <v>0</v>
      </c>
      <c r="P104" s="116">
        <f t="shared" si="18"/>
        <v>0</v>
      </c>
      <c r="Q104" s="116">
        <f t="shared" si="19"/>
        <v>0</v>
      </c>
    </row>
    <row r="105" spans="1:23" ht="16.5" thickBot="1" x14ac:dyDescent="0.3">
      <c r="A105" s="247"/>
      <c r="B105" s="100" t="s">
        <v>52</v>
      </c>
      <c r="C105" s="147"/>
      <c r="D105" s="147"/>
      <c r="E105" s="147"/>
      <c r="F105" s="147"/>
      <c r="G105" s="147"/>
      <c r="H105" s="147"/>
      <c r="I105" s="147"/>
      <c r="J105" s="147"/>
      <c r="K105" s="147"/>
      <c r="L105" s="147"/>
      <c r="M105" s="211"/>
      <c r="N105" s="192">
        <f t="shared" si="16"/>
        <v>0</v>
      </c>
      <c r="O105" s="192">
        <f t="shared" si="17"/>
        <v>0</v>
      </c>
      <c r="P105" s="116">
        <f t="shared" si="18"/>
        <v>0</v>
      </c>
      <c r="Q105" s="116">
        <f t="shared" si="19"/>
        <v>0</v>
      </c>
    </row>
    <row r="106" spans="1:23" ht="16.5" thickBot="1" x14ac:dyDescent="0.3">
      <c r="A106" s="247"/>
      <c r="B106" s="100" t="s">
        <v>54</v>
      </c>
      <c r="C106" s="147"/>
      <c r="D106" s="147"/>
      <c r="E106" s="147"/>
      <c r="F106" s="147"/>
      <c r="G106" s="147"/>
      <c r="H106" s="147"/>
      <c r="I106" s="147"/>
      <c r="J106" s="147"/>
      <c r="K106" s="147"/>
      <c r="L106" s="147"/>
      <c r="M106" s="147"/>
      <c r="N106" s="192">
        <f t="shared" si="16"/>
        <v>0</v>
      </c>
      <c r="O106" s="192">
        <f t="shared" si="17"/>
        <v>0</v>
      </c>
      <c r="P106" s="116">
        <f t="shared" si="18"/>
        <v>0</v>
      </c>
      <c r="Q106" s="116">
        <f t="shared" si="19"/>
        <v>0</v>
      </c>
    </row>
    <row r="107" spans="1:23" ht="16.5" thickBot="1" x14ac:dyDescent="0.3">
      <c r="A107" s="247"/>
      <c r="B107" s="100" t="s">
        <v>55</v>
      </c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92">
        <f t="shared" si="16"/>
        <v>0</v>
      </c>
      <c r="O107" s="192">
        <f t="shared" si="17"/>
        <v>0</v>
      </c>
      <c r="P107" s="116">
        <f t="shared" si="18"/>
        <v>0</v>
      </c>
      <c r="Q107" s="116">
        <f t="shared" si="19"/>
        <v>0</v>
      </c>
    </row>
    <row r="108" spans="1:23" ht="16.5" thickBot="1" x14ac:dyDescent="0.3">
      <c r="A108" s="247"/>
      <c r="B108" s="100" t="s">
        <v>154</v>
      </c>
      <c r="C108" s="147"/>
      <c r="D108" s="147"/>
      <c r="E108" s="147"/>
      <c r="F108" s="147"/>
      <c r="G108" s="147"/>
      <c r="H108" s="147"/>
      <c r="I108" s="147"/>
      <c r="J108" s="147"/>
      <c r="K108" s="147"/>
      <c r="L108" s="147"/>
      <c r="M108" s="211"/>
      <c r="N108" s="192">
        <f t="shared" si="16"/>
        <v>0</v>
      </c>
      <c r="O108" s="192">
        <f t="shared" si="17"/>
        <v>0</v>
      </c>
      <c r="P108" s="116">
        <f t="shared" si="18"/>
        <v>0</v>
      </c>
      <c r="Q108" s="116">
        <f t="shared" si="19"/>
        <v>0</v>
      </c>
    </row>
    <row r="109" spans="1:23" ht="16.5" thickBot="1" x14ac:dyDescent="0.3">
      <c r="A109" s="248"/>
      <c r="B109" s="100" t="s">
        <v>155</v>
      </c>
      <c r="C109" s="147"/>
      <c r="D109" s="147"/>
      <c r="E109" s="147"/>
      <c r="F109" s="147"/>
      <c r="G109" s="147"/>
      <c r="H109" s="147"/>
      <c r="I109" s="147"/>
      <c r="J109" s="147"/>
      <c r="K109" s="147"/>
      <c r="L109" s="147"/>
      <c r="M109" s="211"/>
      <c r="N109" s="192">
        <f t="shared" si="16"/>
        <v>0</v>
      </c>
      <c r="O109" s="192">
        <f t="shared" si="17"/>
        <v>0</v>
      </c>
      <c r="P109" s="116">
        <f t="shared" si="18"/>
        <v>0</v>
      </c>
      <c r="Q109" s="116">
        <f t="shared" si="19"/>
        <v>0</v>
      </c>
    </row>
    <row r="111" spans="1:23" ht="15.75" thickBot="1" x14ac:dyDescent="0.3">
      <c r="A111" s="156"/>
      <c r="B111" s="174"/>
      <c r="C111" s="156"/>
      <c r="D111" s="156"/>
      <c r="E111" s="156"/>
      <c r="F111" s="156"/>
      <c r="G111" s="156"/>
      <c r="H111" s="156"/>
      <c r="I111" s="156"/>
      <c r="J111" s="156"/>
      <c r="K111" s="156"/>
      <c r="L111" s="156"/>
      <c r="M111" s="201"/>
      <c r="N111" s="156"/>
      <c r="O111" s="156"/>
      <c r="P111" s="157"/>
      <c r="Q111" s="156"/>
      <c r="R111" s="156"/>
      <c r="S111" s="156"/>
      <c r="T111" s="156"/>
      <c r="U111" s="156"/>
      <c r="V111" s="156"/>
      <c r="W111" s="156"/>
    </row>
    <row r="112" spans="1:23" ht="15" customHeight="1" x14ac:dyDescent="0.25">
      <c r="A112" s="224" t="s">
        <v>1</v>
      </c>
      <c r="B112" s="264" t="s">
        <v>2</v>
      </c>
      <c r="C112" s="255" t="str">
        <f>C3</f>
        <v>HAUTEURS JOURNALIERES DE PLUIE :                                                                                                       3ème DECADE DU MOIS DE AOUT 2025</v>
      </c>
      <c r="D112" s="255"/>
      <c r="E112" s="255"/>
      <c r="F112" s="255"/>
      <c r="G112" s="255"/>
      <c r="H112" s="255"/>
      <c r="I112" s="255"/>
      <c r="J112" s="255"/>
      <c r="K112" s="255"/>
      <c r="L112" s="255"/>
      <c r="M112" s="255"/>
      <c r="N112" s="255"/>
      <c r="O112" s="255"/>
      <c r="P112" s="255"/>
      <c r="Q112" s="256"/>
    </row>
    <row r="113" spans="1:17" ht="15.75" customHeight="1" x14ac:dyDescent="0.25">
      <c r="A113" s="225"/>
      <c r="B113" s="265"/>
      <c r="C113" s="266"/>
      <c r="D113" s="266"/>
      <c r="E113" s="266"/>
      <c r="F113" s="266"/>
      <c r="G113" s="266"/>
      <c r="H113" s="266"/>
      <c r="I113" s="266"/>
      <c r="J113" s="266"/>
      <c r="K113" s="266"/>
      <c r="L113" s="266"/>
      <c r="M113" s="266"/>
      <c r="N113" s="266"/>
      <c r="O113" s="266"/>
      <c r="P113" s="266"/>
      <c r="Q113" s="267"/>
    </row>
    <row r="114" spans="1:17" ht="23.25" thickBot="1" x14ac:dyDescent="0.3">
      <c r="A114" s="225"/>
      <c r="B114" s="254"/>
      <c r="C114" s="146">
        <v>21</v>
      </c>
      <c r="D114" s="146">
        <v>22</v>
      </c>
      <c r="E114" s="146">
        <v>23</v>
      </c>
      <c r="F114" s="146">
        <v>24</v>
      </c>
      <c r="G114" s="146">
        <v>25</v>
      </c>
      <c r="H114" s="146">
        <v>26</v>
      </c>
      <c r="I114" s="146">
        <v>27</v>
      </c>
      <c r="J114" s="146">
        <v>28</v>
      </c>
      <c r="K114" s="146">
        <v>29</v>
      </c>
      <c r="L114" s="146">
        <v>30</v>
      </c>
      <c r="M114" s="160">
        <v>31</v>
      </c>
      <c r="N114" s="180" t="s">
        <v>89</v>
      </c>
      <c r="O114" s="180" t="s">
        <v>147</v>
      </c>
      <c r="P114" s="180" t="s">
        <v>106</v>
      </c>
      <c r="Q114" s="194" t="s">
        <v>0</v>
      </c>
    </row>
    <row r="115" spans="1:17" ht="16.5" thickBot="1" x14ac:dyDescent="0.3">
      <c r="A115" s="268" t="s">
        <v>131</v>
      </c>
      <c r="B115" s="195" t="s">
        <v>58</v>
      </c>
      <c r="C115" s="114"/>
      <c r="D115" s="114"/>
      <c r="E115" s="114"/>
      <c r="F115" s="114"/>
      <c r="G115" s="114"/>
      <c r="H115" s="114"/>
      <c r="I115" s="114"/>
      <c r="J115" s="114"/>
      <c r="K115" s="114"/>
      <c r="L115" s="114"/>
      <c r="M115" s="114"/>
      <c r="N115" s="180">
        <f>COUNTIF(C115:M115,"&gt;0")</f>
        <v>0</v>
      </c>
      <c r="O115" s="180">
        <f>COUNTIF(C115:M115,"&gt;20")</f>
        <v>0</v>
      </c>
      <c r="P115" s="199">
        <f>MAX(C115:M115)</f>
        <v>0</v>
      </c>
      <c r="Q115" s="181">
        <f>SUM(C115:M115)</f>
        <v>0</v>
      </c>
    </row>
    <row r="116" spans="1:17" ht="16.5" thickBot="1" x14ac:dyDescent="0.3">
      <c r="A116" s="269"/>
      <c r="B116" s="195" t="s">
        <v>66</v>
      </c>
      <c r="C116" s="114"/>
      <c r="D116" s="114"/>
      <c r="E116" s="114"/>
      <c r="F116" s="114"/>
      <c r="G116" s="114"/>
      <c r="H116" s="114"/>
      <c r="I116" s="114"/>
      <c r="J116" s="114"/>
      <c r="K116" s="114"/>
      <c r="L116" s="114"/>
      <c r="M116" s="210"/>
      <c r="N116" s="180">
        <f t="shared" ref="N116:N144" si="20">COUNTIF(C116:M116,"&gt;0")</f>
        <v>0</v>
      </c>
      <c r="O116" s="180">
        <f t="shared" ref="O116:O144" si="21">COUNTIF(C116:M116,"&gt;20")</f>
        <v>0</v>
      </c>
      <c r="P116" s="199">
        <f t="shared" ref="P116:P144" si="22">MAX(C116:M116)</f>
        <v>0</v>
      </c>
      <c r="Q116" s="181">
        <f t="shared" ref="Q116:Q144" si="23">SUM(C116:M116)</f>
        <v>0</v>
      </c>
    </row>
    <row r="117" spans="1:17" ht="16.5" thickBot="1" x14ac:dyDescent="0.3">
      <c r="A117" s="269"/>
      <c r="B117" s="196" t="s">
        <v>60</v>
      </c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80">
        <f t="shared" si="20"/>
        <v>0</v>
      </c>
      <c r="O117" s="180">
        <f t="shared" si="21"/>
        <v>0</v>
      </c>
      <c r="P117" s="199">
        <f t="shared" si="22"/>
        <v>0</v>
      </c>
      <c r="Q117" s="181">
        <f t="shared" si="23"/>
        <v>0</v>
      </c>
    </row>
    <row r="118" spans="1:17" ht="16.5" thickBot="1" x14ac:dyDescent="0.3">
      <c r="A118" s="269"/>
      <c r="B118" s="196" t="s">
        <v>63</v>
      </c>
      <c r="C118" s="114">
        <v>0</v>
      </c>
      <c r="D118" s="114">
        <v>0</v>
      </c>
      <c r="E118" s="114">
        <v>0</v>
      </c>
      <c r="F118" s="114">
        <v>0</v>
      </c>
      <c r="G118" s="114">
        <v>0</v>
      </c>
      <c r="H118" s="114">
        <v>0</v>
      </c>
      <c r="I118" s="114">
        <v>0</v>
      </c>
      <c r="J118" s="114">
        <v>0</v>
      </c>
      <c r="K118" s="114">
        <v>0</v>
      </c>
      <c r="L118" s="114">
        <v>0</v>
      </c>
      <c r="M118" s="114">
        <v>0</v>
      </c>
      <c r="N118" s="180">
        <f t="shared" si="20"/>
        <v>0</v>
      </c>
      <c r="O118" s="180">
        <f t="shared" si="21"/>
        <v>0</v>
      </c>
      <c r="P118" s="199">
        <f t="shared" si="22"/>
        <v>0</v>
      </c>
      <c r="Q118" s="181">
        <f t="shared" si="23"/>
        <v>0</v>
      </c>
    </row>
    <row r="119" spans="1:17" ht="16.5" thickBot="1" x14ac:dyDescent="0.3">
      <c r="A119" s="269"/>
      <c r="B119" s="196" t="s">
        <v>72</v>
      </c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80">
        <f t="shared" si="20"/>
        <v>0</v>
      </c>
      <c r="O119" s="180">
        <f t="shared" si="21"/>
        <v>0</v>
      </c>
      <c r="P119" s="199">
        <f t="shared" si="22"/>
        <v>0</v>
      </c>
      <c r="Q119" s="181">
        <f t="shared" si="23"/>
        <v>0</v>
      </c>
    </row>
    <row r="120" spans="1:17" ht="16.5" thickBot="1" x14ac:dyDescent="0.3">
      <c r="A120" s="269"/>
      <c r="B120" s="196" t="s">
        <v>77</v>
      </c>
      <c r="C120" s="114"/>
      <c r="D120" s="114"/>
      <c r="E120" s="114"/>
      <c r="F120" s="114"/>
      <c r="G120" s="114"/>
      <c r="H120" s="114"/>
      <c r="I120" s="114"/>
      <c r="J120" s="114"/>
      <c r="K120" s="114"/>
      <c r="L120" s="114"/>
      <c r="M120" s="114"/>
      <c r="N120" s="180">
        <f t="shared" si="20"/>
        <v>0</v>
      </c>
      <c r="O120" s="180">
        <f t="shared" si="21"/>
        <v>0</v>
      </c>
      <c r="P120" s="199">
        <f t="shared" si="22"/>
        <v>0</v>
      </c>
      <c r="Q120" s="181">
        <f t="shared" si="23"/>
        <v>0</v>
      </c>
    </row>
    <row r="121" spans="1:17" ht="16.5" thickBot="1" x14ac:dyDescent="0.3">
      <c r="A121" s="269"/>
      <c r="B121" s="196" t="s">
        <v>76</v>
      </c>
      <c r="C121" s="114"/>
      <c r="D121" s="114"/>
      <c r="E121" s="114"/>
      <c r="F121" s="114"/>
      <c r="G121" s="114"/>
      <c r="H121" s="114"/>
      <c r="I121" s="114"/>
      <c r="J121" s="114"/>
      <c r="K121" s="114"/>
      <c r="L121" s="114"/>
      <c r="M121" s="114"/>
      <c r="N121" s="180">
        <f t="shared" si="20"/>
        <v>0</v>
      </c>
      <c r="O121" s="180">
        <f t="shared" si="21"/>
        <v>0</v>
      </c>
      <c r="P121" s="199">
        <f t="shared" si="22"/>
        <v>0</v>
      </c>
      <c r="Q121" s="181">
        <f t="shared" si="23"/>
        <v>0</v>
      </c>
    </row>
    <row r="122" spans="1:17" ht="16.5" thickBot="1" x14ac:dyDescent="0.3">
      <c r="A122" s="269"/>
      <c r="B122" s="195" t="s">
        <v>69</v>
      </c>
      <c r="C122" s="114">
        <v>11.6</v>
      </c>
      <c r="D122" s="114">
        <v>0</v>
      </c>
      <c r="E122" s="114">
        <v>0</v>
      </c>
      <c r="F122" s="114">
        <v>0</v>
      </c>
      <c r="G122" s="114">
        <v>0</v>
      </c>
      <c r="H122" s="114">
        <v>0</v>
      </c>
      <c r="I122" s="114">
        <v>0</v>
      </c>
      <c r="J122" s="114">
        <v>0</v>
      </c>
      <c r="K122" s="114">
        <v>0</v>
      </c>
      <c r="L122" s="114">
        <v>0</v>
      </c>
      <c r="M122" s="114">
        <v>0</v>
      </c>
      <c r="N122" s="180">
        <f t="shared" si="20"/>
        <v>1</v>
      </c>
      <c r="O122" s="180">
        <f t="shared" si="21"/>
        <v>0</v>
      </c>
      <c r="P122" s="199">
        <f t="shared" si="22"/>
        <v>11.6</v>
      </c>
      <c r="Q122" s="181">
        <f t="shared" si="23"/>
        <v>11.6</v>
      </c>
    </row>
    <row r="123" spans="1:17" ht="16.5" thickBot="1" x14ac:dyDescent="0.3">
      <c r="A123" s="269"/>
      <c r="B123" s="197" t="s">
        <v>61</v>
      </c>
      <c r="C123" s="146"/>
      <c r="D123" s="146"/>
      <c r="E123" s="114"/>
      <c r="F123" s="114"/>
      <c r="G123" s="146"/>
      <c r="H123" s="146"/>
      <c r="I123" s="114"/>
      <c r="J123" s="146"/>
      <c r="K123" s="146"/>
      <c r="L123" s="146"/>
      <c r="M123" s="210"/>
      <c r="N123" s="180">
        <f t="shared" si="20"/>
        <v>0</v>
      </c>
      <c r="O123" s="180">
        <f t="shared" si="21"/>
        <v>0</v>
      </c>
      <c r="P123" s="199">
        <f t="shared" si="22"/>
        <v>0</v>
      </c>
      <c r="Q123" s="181">
        <f t="shared" si="23"/>
        <v>0</v>
      </c>
    </row>
    <row r="124" spans="1:17" ht="16.5" thickBot="1" x14ac:dyDescent="0.3">
      <c r="A124" s="269"/>
      <c r="B124" s="195" t="s">
        <v>65</v>
      </c>
      <c r="C124" s="114"/>
      <c r="D124" s="114"/>
      <c r="E124" s="114"/>
      <c r="F124" s="114"/>
      <c r="G124" s="114"/>
      <c r="H124" s="114"/>
      <c r="I124" s="114"/>
      <c r="J124" s="114"/>
      <c r="K124" s="114"/>
      <c r="L124" s="114"/>
      <c r="M124" s="213"/>
      <c r="N124" s="180">
        <f t="shared" si="20"/>
        <v>0</v>
      </c>
      <c r="O124" s="180">
        <f t="shared" si="21"/>
        <v>0</v>
      </c>
      <c r="P124" s="199">
        <f t="shared" si="22"/>
        <v>0</v>
      </c>
      <c r="Q124" s="181">
        <f t="shared" si="23"/>
        <v>0</v>
      </c>
    </row>
    <row r="125" spans="1:17" ht="16.5" thickBot="1" x14ac:dyDescent="0.3">
      <c r="A125" s="269"/>
      <c r="B125" s="195" t="s">
        <v>67</v>
      </c>
      <c r="C125" s="218">
        <v>50.7</v>
      </c>
      <c r="D125" s="218">
        <v>2.5</v>
      </c>
      <c r="E125" s="218">
        <v>0</v>
      </c>
      <c r="F125" s="218">
        <v>0</v>
      </c>
      <c r="G125" s="218">
        <v>0</v>
      </c>
      <c r="H125" s="218">
        <v>0</v>
      </c>
      <c r="I125" s="218">
        <v>0</v>
      </c>
      <c r="J125" s="218">
        <v>0</v>
      </c>
      <c r="K125" s="218">
        <v>0</v>
      </c>
      <c r="L125" s="218">
        <v>0</v>
      </c>
      <c r="M125" s="218">
        <v>0</v>
      </c>
      <c r="N125" s="180">
        <f t="shared" si="20"/>
        <v>2</v>
      </c>
      <c r="O125" s="180">
        <f t="shared" si="21"/>
        <v>1</v>
      </c>
      <c r="P125" s="199">
        <f t="shared" si="22"/>
        <v>50.7</v>
      </c>
      <c r="Q125" s="181">
        <f t="shared" si="23"/>
        <v>53.2</v>
      </c>
    </row>
    <row r="126" spans="1:17" ht="16.5" thickBot="1" x14ac:dyDescent="0.3">
      <c r="A126" s="269"/>
      <c r="B126" s="195" t="s">
        <v>73</v>
      </c>
      <c r="C126" s="114"/>
      <c r="D126" s="114"/>
      <c r="E126" s="114"/>
      <c r="F126" s="114"/>
      <c r="G126" s="114"/>
      <c r="H126" s="114"/>
      <c r="I126" s="114"/>
      <c r="J126" s="114"/>
      <c r="K126" s="114"/>
      <c r="L126" s="114"/>
      <c r="M126" s="114"/>
      <c r="N126" s="180">
        <f t="shared" si="20"/>
        <v>0</v>
      </c>
      <c r="O126" s="180">
        <f t="shared" si="21"/>
        <v>0</v>
      </c>
      <c r="P126" s="199">
        <f t="shared" si="22"/>
        <v>0</v>
      </c>
      <c r="Q126" s="181">
        <f t="shared" si="23"/>
        <v>0</v>
      </c>
    </row>
    <row r="127" spans="1:17" ht="16.5" thickBot="1" x14ac:dyDescent="0.3">
      <c r="A127" s="269"/>
      <c r="B127" s="195" t="s">
        <v>74</v>
      </c>
      <c r="C127" s="114"/>
      <c r="D127" s="1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80">
        <f t="shared" si="20"/>
        <v>0</v>
      </c>
      <c r="O127" s="180">
        <f t="shared" si="21"/>
        <v>0</v>
      </c>
      <c r="P127" s="199">
        <f t="shared" si="22"/>
        <v>0</v>
      </c>
      <c r="Q127" s="181">
        <f t="shared" si="23"/>
        <v>0</v>
      </c>
    </row>
    <row r="128" spans="1:17" ht="16.5" thickBot="1" x14ac:dyDescent="0.3">
      <c r="A128" s="269"/>
      <c r="B128" s="196" t="s">
        <v>64</v>
      </c>
      <c r="C128" s="114"/>
      <c r="D128" s="1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80">
        <f t="shared" si="20"/>
        <v>0</v>
      </c>
      <c r="O128" s="180">
        <f t="shared" si="21"/>
        <v>0</v>
      </c>
      <c r="P128" s="199">
        <f t="shared" si="22"/>
        <v>0</v>
      </c>
      <c r="Q128" s="181">
        <f t="shared" si="23"/>
        <v>0</v>
      </c>
    </row>
    <row r="129" spans="1:17" ht="16.5" thickBot="1" x14ac:dyDescent="0.3">
      <c r="A129" s="269"/>
      <c r="B129" s="198" t="s">
        <v>156</v>
      </c>
      <c r="C129" s="114"/>
      <c r="D129" s="114"/>
      <c r="E129" s="114"/>
      <c r="F129" s="114"/>
      <c r="G129" s="114"/>
      <c r="H129" s="114"/>
      <c r="I129" s="114"/>
      <c r="J129" s="114"/>
      <c r="K129" s="114"/>
      <c r="L129" s="114"/>
      <c r="M129" s="213"/>
      <c r="N129" s="180">
        <f t="shared" si="20"/>
        <v>0</v>
      </c>
      <c r="O129" s="180">
        <f t="shared" si="21"/>
        <v>0</v>
      </c>
      <c r="P129" s="199">
        <f t="shared" si="22"/>
        <v>0</v>
      </c>
      <c r="Q129" s="181">
        <f t="shared" si="23"/>
        <v>0</v>
      </c>
    </row>
    <row r="130" spans="1:17" ht="16.5" thickBot="1" x14ac:dyDescent="0.3">
      <c r="A130" s="269"/>
      <c r="B130" s="198" t="s">
        <v>157</v>
      </c>
      <c r="C130" s="114"/>
      <c r="D130" s="114"/>
      <c r="E130" s="114"/>
      <c r="F130" s="114"/>
      <c r="G130" s="114"/>
      <c r="H130" s="114"/>
      <c r="I130" s="114"/>
      <c r="J130" s="114"/>
      <c r="K130" s="114"/>
      <c r="L130" s="114"/>
      <c r="M130" s="213"/>
      <c r="N130" s="180">
        <f t="shared" si="20"/>
        <v>0</v>
      </c>
      <c r="O130" s="180">
        <f t="shared" si="21"/>
        <v>0</v>
      </c>
      <c r="P130" s="199">
        <f t="shared" si="22"/>
        <v>0</v>
      </c>
      <c r="Q130" s="181">
        <f t="shared" si="23"/>
        <v>0</v>
      </c>
    </row>
    <row r="131" spans="1:17" ht="16.5" thickBot="1" x14ac:dyDescent="0.3">
      <c r="A131" s="269"/>
      <c r="B131" s="198" t="s">
        <v>158</v>
      </c>
      <c r="C131" s="114"/>
      <c r="D131" s="114"/>
      <c r="E131" s="114"/>
      <c r="F131" s="114"/>
      <c r="G131" s="114"/>
      <c r="H131" s="114"/>
      <c r="I131" s="114"/>
      <c r="J131" s="114"/>
      <c r="K131" s="114"/>
      <c r="L131" s="114"/>
      <c r="M131" s="213"/>
      <c r="N131" s="180">
        <f t="shared" si="20"/>
        <v>0</v>
      </c>
      <c r="O131" s="180">
        <f t="shared" si="21"/>
        <v>0</v>
      </c>
      <c r="P131" s="199">
        <f t="shared" si="22"/>
        <v>0</v>
      </c>
      <c r="Q131" s="181">
        <f t="shared" si="23"/>
        <v>0</v>
      </c>
    </row>
    <row r="132" spans="1:17" ht="16.5" thickBot="1" x14ac:dyDescent="0.3">
      <c r="A132" s="269"/>
      <c r="B132" s="198" t="s">
        <v>159</v>
      </c>
      <c r="C132" s="114"/>
      <c r="D132" s="114"/>
      <c r="E132" s="114"/>
      <c r="F132" s="114"/>
      <c r="G132" s="114"/>
      <c r="H132" s="114"/>
      <c r="I132" s="114"/>
      <c r="J132" s="114"/>
      <c r="K132" s="114"/>
      <c r="L132" s="114"/>
      <c r="M132" s="213"/>
      <c r="N132" s="180">
        <f t="shared" si="20"/>
        <v>0</v>
      </c>
      <c r="O132" s="180">
        <f t="shared" si="21"/>
        <v>0</v>
      </c>
      <c r="P132" s="199">
        <f t="shared" si="22"/>
        <v>0</v>
      </c>
      <c r="Q132" s="181">
        <f t="shared" si="23"/>
        <v>0</v>
      </c>
    </row>
    <row r="133" spans="1:17" ht="16.5" thickBot="1" x14ac:dyDescent="0.3">
      <c r="A133" s="269"/>
      <c r="B133" s="198" t="s">
        <v>160</v>
      </c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213"/>
      <c r="N133" s="180">
        <f t="shared" si="20"/>
        <v>0</v>
      </c>
      <c r="O133" s="180">
        <f t="shared" si="21"/>
        <v>0</v>
      </c>
      <c r="P133" s="199">
        <f t="shared" si="22"/>
        <v>0</v>
      </c>
      <c r="Q133" s="181">
        <f t="shared" si="23"/>
        <v>0</v>
      </c>
    </row>
    <row r="134" spans="1:17" ht="16.5" thickBot="1" x14ac:dyDescent="0.3">
      <c r="A134" s="269"/>
      <c r="B134" s="198" t="s">
        <v>161</v>
      </c>
      <c r="C134" s="114"/>
      <c r="D134" s="114"/>
      <c r="E134" s="114"/>
      <c r="F134" s="114"/>
      <c r="G134" s="114"/>
      <c r="H134" s="114"/>
      <c r="I134" s="114"/>
      <c r="J134" s="114"/>
      <c r="K134" s="114"/>
      <c r="L134" s="114"/>
      <c r="M134" s="213"/>
      <c r="N134" s="180">
        <f t="shared" si="20"/>
        <v>0</v>
      </c>
      <c r="O134" s="180">
        <f t="shared" si="21"/>
        <v>0</v>
      </c>
      <c r="P134" s="199">
        <f t="shared" si="22"/>
        <v>0</v>
      </c>
      <c r="Q134" s="181">
        <f t="shared" si="23"/>
        <v>0</v>
      </c>
    </row>
    <row r="135" spans="1:17" ht="16.5" thickBot="1" x14ac:dyDescent="0.3">
      <c r="A135" s="269"/>
      <c r="B135" s="198" t="s">
        <v>162</v>
      </c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213"/>
      <c r="N135" s="180">
        <f t="shared" si="20"/>
        <v>0</v>
      </c>
      <c r="O135" s="180">
        <f t="shared" si="21"/>
        <v>0</v>
      </c>
      <c r="P135" s="199">
        <f t="shared" si="22"/>
        <v>0</v>
      </c>
      <c r="Q135" s="181">
        <f t="shared" si="23"/>
        <v>0</v>
      </c>
    </row>
    <row r="136" spans="1:17" ht="16.5" thickBot="1" x14ac:dyDescent="0.3">
      <c r="A136" s="269"/>
      <c r="B136" s="198" t="s">
        <v>164</v>
      </c>
      <c r="C136" s="114"/>
      <c r="D136" s="114"/>
      <c r="E136" s="114"/>
      <c r="F136" s="114"/>
      <c r="G136" s="114"/>
      <c r="H136" s="114"/>
      <c r="I136" s="114"/>
      <c r="J136" s="114"/>
      <c r="K136" s="114"/>
      <c r="L136" s="114"/>
      <c r="M136" s="213"/>
      <c r="N136" s="180">
        <f t="shared" si="20"/>
        <v>0</v>
      </c>
      <c r="O136" s="180">
        <f t="shared" si="21"/>
        <v>0</v>
      </c>
      <c r="P136" s="199">
        <f t="shared" si="22"/>
        <v>0</v>
      </c>
      <c r="Q136" s="181">
        <f t="shared" si="23"/>
        <v>0</v>
      </c>
    </row>
    <row r="137" spans="1:17" ht="16.5" thickBot="1" x14ac:dyDescent="0.3">
      <c r="A137" s="269"/>
      <c r="B137" s="198" t="s">
        <v>71</v>
      </c>
      <c r="C137" s="114">
        <v>18.5</v>
      </c>
      <c r="D137" s="114">
        <v>0</v>
      </c>
      <c r="E137" s="114">
        <v>0</v>
      </c>
      <c r="F137" s="114">
        <v>0</v>
      </c>
      <c r="G137" s="114">
        <v>0</v>
      </c>
      <c r="H137" s="114">
        <v>0</v>
      </c>
      <c r="I137" s="114">
        <v>0</v>
      </c>
      <c r="J137" s="114">
        <v>0</v>
      </c>
      <c r="K137" s="114">
        <v>0</v>
      </c>
      <c r="L137" s="114">
        <v>0</v>
      </c>
      <c r="M137" s="114">
        <v>0</v>
      </c>
      <c r="N137" s="180">
        <f t="shared" si="20"/>
        <v>1</v>
      </c>
      <c r="O137" s="180">
        <f t="shared" si="21"/>
        <v>0</v>
      </c>
      <c r="P137" s="199">
        <f t="shared" si="22"/>
        <v>18.5</v>
      </c>
      <c r="Q137" s="181">
        <f t="shared" si="23"/>
        <v>18.5</v>
      </c>
    </row>
    <row r="138" spans="1:17" ht="16.5" thickBot="1" x14ac:dyDescent="0.3">
      <c r="A138" s="269"/>
      <c r="B138" s="198" t="s">
        <v>59</v>
      </c>
      <c r="C138" s="168"/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80">
        <f t="shared" si="20"/>
        <v>0</v>
      </c>
      <c r="O138" s="180">
        <f t="shared" si="21"/>
        <v>0</v>
      </c>
      <c r="P138" s="199">
        <f t="shared" si="22"/>
        <v>0</v>
      </c>
      <c r="Q138" s="181">
        <f t="shared" si="23"/>
        <v>0</v>
      </c>
    </row>
    <row r="139" spans="1:17" ht="16.5" thickBot="1" x14ac:dyDescent="0.3">
      <c r="A139" s="269"/>
      <c r="B139" s="196" t="s">
        <v>62</v>
      </c>
      <c r="C139" s="218">
        <v>0</v>
      </c>
      <c r="D139" s="218">
        <v>0.6</v>
      </c>
      <c r="E139" s="218">
        <v>0</v>
      </c>
      <c r="F139" s="218">
        <v>0</v>
      </c>
      <c r="G139" s="218">
        <v>0</v>
      </c>
      <c r="H139" s="218">
        <v>0</v>
      </c>
      <c r="I139" s="218">
        <v>0</v>
      </c>
      <c r="J139" s="218">
        <v>0</v>
      </c>
      <c r="K139" s="218">
        <v>0</v>
      </c>
      <c r="L139" s="218">
        <v>0</v>
      </c>
      <c r="M139" s="218">
        <v>0</v>
      </c>
      <c r="N139" s="180">
        <f t="shared" si="20"/>
        <v>1</v>
      </c>
      <c r="O139" s="180">
        <f t="shared" si="21"/>
        <v>0</v>
      </c>
      <c r="P139" s="199">
        <f t="shared" si="22"/>
        <v>0.6</v>
      </c>
      <c r="Q139" s="181">
        <f t="shared" si="23"/>
        <v>0.6</v>
      </c>
    </row>
    <row r="140" spans="1:17" ht="16.5" thickBot="1" x14ac:dyDescent="0.3">
      <c r="A140" s="269"/>
      <c r="B140" s="196" t="s">
        <v>68</v>
      </c>
      <c r="C140" s="168"/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80">
        <f t="shared" si="20"/>
        <v>0</v>
      </c>
      <c r="O140" s="180">
        <f t="shared" si="21"/>
        <v>0</v>
      </c>
      <c r="P140" s="199">
        <f t="shared" si="22"/>
        <v>0</v>
      </c>
      <c r="Q140" s="181">
        <f t="shared" si="23"/>
        <v>0</v>
      </c>
    </row>
    <row r="141" spans="1:17" ht="16.5" thickBot="1" x14ac:dyDescent="0.3">
      <c r="A141" s="269"/>
      <c r="B141" s="195" t="s">
        <v>70</v>
      </c>
      <c r="C141" s="168"/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80">
        <f t="shared" si="20"/>
        <v>0</v>
      </c>
      <c r="O141" s="180">
        <f t="shared" si="21"/>
        <v>0</v>
      </c>
      <c r="P141" s="199">
        <f t="shared" si="22"/>
        <v>0</v>
      </c>
      <c r="Q141" s="181">
        <f t="shared" si="23"/>
        <v>0</v>
      </c>
    </row>
    <row r="142" spans="1:17" ht="16.5" thickBot="1" x14ac:dyDescent="0.3">
      <c r="A142" s="269"/>
      <c r="B142" s="195" t="s">
        <v>75</v>
      </c>
      <c r="C142" s="168"/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80">
        <f t="shared" si="20"/>
        <v>0</v>
      </c>
      <c r="O142" s="180">
        <f t="shared" si="21"/>
        <v>0</v>
      </c>
      <c r="P142" s="199">
        <f t="shared" si="22"/>
        <v>0</v>
      </c>
      <c r="Q142" s="181">
        <f t="shared" si="23"/>
        <v>0</v>
      </c>
    </row>
    <row r="143" spans="1:17" ht="16.5" thickBot="1" x14ac:dyDescent="0.3">
      <c r="A143" s="269"/>
      <c r="B143" s="195" t="s">
        <v>144</v>
      </c>
      <c r="C143" s="168"/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80">
        <f t="shared" si="20"/>
        <v>0</v>
      </c>
      <c r="O143" s="180">
        <f t="shared" si="21"/>
        <v>0</v>
      </c>
      <c r="P143" s="199">
        <f t="shared" si="22"/>
        <v>0</v>
      </c>
      <c r="Q143" s="181">
        <f t="shared" si="23"/>
        <v>0</v>
      </c>
    </row>
    <row r="144" spans="1:17" ht="16.5" thickBot="1" x14ac:dyDescent="0.3">
      <c r="A144" s="270"/>
      <c r="B144" s="195" t="s">
        <v>166</v>
      </c>
      <c r="C144" s="168"/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80">
        <f t="shared" si="20"/>
        <v>0</v>
      </c>
      <c r="O144" s="180">
        <f t="shared" si="21"/>
        <v>0</v>
      </c>
      <c r="P144" s="199">
        <f t="shared" si="22"/>
        <v>0</v>
      </c>
      <c r="Q144" s="181">
        <f t="shared" si="23"/>
        <v>0</v>
      </c>
    </row>
  </sheetData>
  <mergeCells count="28">
    <mergeCell ref="A3:A5"/>
    <mergeCell ref="B3:B5"/>
    <mergeCell ref="C3:Q4"/>
    <mergeCell ref="B21:O21"/>
    <mergeCell ref="A6:A20"/>
    <mergeCell ref="A115:A144"/>
    <mergeCell ref="A23:A25"/>
    <mergeCell ref="B23:B25"/>
    <mergeCell ref="C23:Q24"/>
    <mergeCell ref="B92:Q92"/>
    <mergeCell ref="A26:A42"/>
    <mergeCell ref="B43:O43"/>
    <mergeCell ref="A45:A47"/>
    <mergeCell ref="B45:B47"/>
    <mergeCell ref="C45:Q46"/>
    <mergeCell ref="A48:A69"/>
    <mergeCell ref="B70:Q70"/>
    <mergeCell ref="A72:A74"/>
    <mergeCell ref="B72:B74"/>
    <mergeCell ref="C72:Q73"/>
    <mergeCell ref="A75:A91"/>
    <mergeCell ref="A97:A109"/>
    <mergeCell ref="A112:A114"/>
    <mergeCell ref="B112:B114"/>
    <mergeCell ref="C112:Q113"/>
    <mergeCell ref="A94:A96"/>
    <mergeCell ref="B94:B96"/>
    <mergeCell ref="C94:Q9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92"/>
  <sheetViews>
    <sheetView topLeftCell="A76" workbookViewId="0">
      <selection activeCell="AB9" sqref="AB9"/>
    </sheetView>
  </sheetViews>
  <sheetFormatPr baseColWidth="10" defaultColWidth="11.42578125" defaultRowHeight="15" x14ac:dyDescent="0.25"/>
  <cols>
    <col min="1" max="1" width="0.28515625" customWidth="1"/>
    <col min="2" max="2" width="17.42578125" customWidth="1"/>
    <col min="3" max="3" width="19" customWidth="1"/>
    <col min="4" max="4" width="6.28515625" customWidth="1"/>
    <col min="5" max="5" width="6.140625" customWidth="1"/>
    <col min="6" max="6" width="6.140625" style="62" customWidth="1"/>
    <col min="7" max="7" width="6.5703125" customWidth="1"/>
    <col min="8" max="8" width="6" customWidth="1"/>
    <col min="9" max="9" width="5.85546875" customWidth="1"/>
    <col min="10" max="10" width="5.85546875" style="62" customWidth="1"/>
    <col min="11" max="11" width="5.7109375" customWidth="1"/>
    <col min="12" max="13" width="6" customWidth="1"/>
    <col min="14" max="14" width="6" style="62" customWidth="1"/>
    <col min="15" max="15" width="5.7109375" customWidth="1"/>
    <col min="16" max="16" width="6.28515625" customWidth="1"/>
    <col min="17" max="18" width="6.42578125" customWidth="1"/>
    <col min="19" max="19" width="7.7109375" customWidth="1"/>
    <col min="20" max="25" width="5.7109375" customWidth="1"/>
  </cols>
  <sheetData>
    <row r="1" spans="2:19" x14ac:dyDescent="0.25">
      <c r="F1"/>
      <c r="J1"/>
      <c r="N1"/>
    </row>
    <row r="2" spans="2:19" ht="24" customHeight="1" x14ac:dyDescent="0.25">
      <c r="B2" s="49" t="s">
        <v>100</v>
      </c>
      <c r="F2"/>
      <c r="J2"/>
      <c r="N2"/>
    </row>
    <row r="3" spans="2:19" ht="18" customHeight="1" x14ac:dyDescent="0.25">
      <c r="B3" s="49" t="s">
        <v>101</v>
      </c>
      <c r="F3"/>
      <c r="J3"/>
      <c r="N3"/>
    </row>
    <row r="4" spans="2:19" s="76" customFormat="1" ht="20.25" customHeight="1" thickBot="1" x14ac:dyDescent="0.3">
      <c r="B4" s="75" t="s">
        <v>102</v>
      </c>
    </row>
    <row r="5" spans="2:19" ht="34.5" customHeight="1" thickBot="1" x14ac:dyDescent="0.3">
      <c r="B5" s="283" t="s">
        <v>1</v>
      </c>
      <c r="C5" s="277" t="s">
        <v>2</v>
      </c>
      <c r="D5" s="233" t="s">
        <v>168</v>
      </c>
      <c r="E5" s="234"/>
      <c r="F5" s="234"/>
      <c r="G5" s="234"/>
      <c r="H5" s="234"/>
      <c r="I5" s="234"/>
      <c r="J5" s="234"/>
      <c r="K5" s="234"/>
      <c r="L5" s="234"/>
      <c r="M5" s="234"/>
      <c r="N5" s="234"/>
      <c r="O5" s="234"/>
      <c r="P5" s="234"/>
      <c r="Q5" s="234"/>
      <c r="R5" s="234"/>
      <c r="S5" s="235"/>
    </row>
    <row r="6" spans="2:19" ht="15.75" customHeight="1" thickBot="1" x14ac:dyDescent="0.3">
      <c r="B6" s="284"/>
      <c r="C6" s="278"/>
      <c r="D6" s="285" t="s">
        <v>86</v>
      </c>
      <c r="E6" s="286"/>
      <c r="F6" s="286"/>
      <c r="G6" s="287"/>
      <c r="H6" s="288" t="s">
        <v>87</v>
      </c>
      <c r="I6" s="286"/>
      <c r="J6" s="286"/>
      <c r="K6" s="287"/>
      <c r="L6" s="288" t="s">
        <v>88</v>
      </c>
      <c r="M6" s="286"/>
      <c r="N6" s="286"/>
      <c r="O6" s="287"/>
      <c r="P6" s="280" t="s">
        <v>0</v>
      </c>
      <c r="Q6" s="280"/>
      <c r="R6" s="280"/>
      <c r="S6" s="281"/>
    </row>
    <row r="7" spans="2:19" ht="26.25" customHeight="1" thickBot="1" x14ac:dyDescent="0.3">
      <c r="B7" s="284"/>
      <c r="C7" s="279"/>
      <c r="D7" s="8" t="s">
        <v>89</v>
      </c>
      <c r="E7" s="8" t="s">
        <v>90</v>
      </c>
      <c r="F7" s="63" t="s">
        <v>106</v>
      </c>
      <c r="G7" s="12" t="s">
        <v>92</v>
      </c>
      <c r="H7" s="15" t="s">
        <v>89</v>
      </c>
      <c r="I7" s="8" t="s">
        <v>91</v>
      </c>
      <c r="J7" s="63" t="s">
        <v>106</v>
      </c>
      <c r="K7" s="12" t="s">
        <v>92</v>
      </c>
      <c r="L7" s="15" t="s">
        <v>89</v>
      </c>
      <c r="M7" s="8" t="s">
        <v>91</v>
      </c>
      <c r="N7" s="63" t="s">
        <v>106</v>
      </c>
      <c r="O7" s="12" t="s">
        <v>92</v>
      </c>
      <c r="P7" s="11" t="s">
        <v>89</v>
      </c>
      <c r="Q7" s="8" t="s">
        <v>91</v>
      </c>
      <c r="R7" s="8" t="s">
        <v>106</v>
      </c>
      <c r="S7" s="8" t="s">
        <v>92</v>
      </c>
    </row>
    <row r="8" spans="2:19" ht="24" customHeight="1" thickBot="1" x14ac:dyDescent="0.3">
      <c r="B8" s="277" t="s">
        <v>126</v>
      </c>
      <c r="C8" s="50" t="s">
        <v>115</v>
      </c>
      <c r="D8" s="9">
        <f>Decade1!M7</f>
        <v>0</v>
      </c>
      <c r="E8" s="9">
        <f>Decade1!N7</f>
        <v>0</v>
      </c>
      <c r="F8" s="64">
        <f>Decade1!O7</f>
        <v>0</v>
      </c>
      <c r="G8" s="13">
        <f>Decade1!P7</f>
        <v>0</v>
      </c>
      <c r="H8" s="16">
        <f>Decade2!M5</f>
        <v>0</v>
      </c>
      <c r="I8" s="9">
        <f>Decade2!N5</f>
        <v>0</v>
      </c>
      <c r="J8" s="69">
        <f>Decade2!O5</f>
        <v>0</v>
      </c>
      <c r="K8" s="67">
        <f>Decade2!P5</f>
        <v>0</v>
      </c>
      <c r="L8" s="18">
        <f>Decade3!N6</f>
        <v>0</v>
      </c>
      <c r="M8" s="10">
        <f>Decade3!O6</f>
        <v>0</v>
      </c>
      <c r="N8" s="66">
        <f>Decade3!P6</f>
        <v>0</v>
      </c>
      <c r="O8" s="14">
        <f>Decade3!Q6</f>
        <v>0</v>
      </c>
      <c r="P8" s="17">
        <f>SUM(D8,H8,L8)</f>
        <v>0</v>
      </c>
      <c r="Q8" s="5">
        <f>SUM(E8,I8,M8)</f>
        <v>0</v>
      </c>
      <c r="R8" s="7">
        <f>MAX(F8,J8,N8)</f>
        <v>0</v>
      </c>
      <c r="S8" s="7">
        <f>SUM(G8,K8,O8)</f>
        <v>0</v>
      </c>
    </row>
    <row r="9" spans="2:19" ht="24.75" customHeight="1" thickBot="1" x14ac:dyDescent="0.3">
      <c r="B9" s="278"/>
      <c r="C9" s="50" t="s">
        <v>136</v>
      </c>
      <c r="D9" s="9">
        <f>Decade1!M8</f>
        <v>1</v>
      </c>
      <c r="E9" s="9">
        <f>Decade1!N8</f>
        <v>0</v>
      </c>
      <c r="F9" s="64">
        <f>Decade1!O8</f>
        <v>1.7</v>
      </c>
      <c r="G9" s="13">
        <f>Decade1!P8</f>
        <v>1.7</v>
      </c>
      <c r="H9" s="16">
        <f>Decade2!M6</f>
        <v>0</v>
      </c>
      <c r="I9" s="9">
        <f>Decade2!N6</f>
        <v>0</v>
      </c>
      <c r="J9" s="69">
        <f>Decade2!O6</f>
        <v>0</v>
      </c>
      <c r="K9" s="67">
        <f>Decade2!P6</f>
        <v>0</v>
      </c>
      <c r="L9" s="18">
        <f>Decade3!N7</f>
        <v>2</v>
      </c>
      <c r="M9" s="10">
        <f>Decade3!O7</f>
        <v>0</v>
      </c>
      <c r="N9" s="66">
        <f>Decade3!P7</f>
        <v>0.4</v>
      </c>
      <c r="O9" s="14">
        <f>Decade3!Q7</f>
        <v>0.8</v>
      </c>
      <c r="P9" s="17">
        <f t="shared" ref="P9:P21" si="0">SUM(D9,H9,L9)</f>
        <v>3</v>
      </c>
      <c r="Q9" s="5">
        <f t="shared" ref="Q9:Q21" si="1">SUM(E9,I9,M9)</f>
        <v>0</v>
      </c>
      <c r="R9" s="7">
        <f t="shared" ref="R9:R21" si="2">MAX(F9,J9,N9)</f>
        <v>1.7</v>
      </c>
      <c r="S9" s="7">
        <f t="shared" ref="S9:S21" si="3">SUM(G9,K9,O9)</f>
        <v>2.5</v>
      </c>
    </row>
    <row r="10" spans="2:19" ht="24" customHeight="1" thickBot="1" x14ac:dyDescent="0.3">
      <c r="B10" s="278"/>
      <c r="C10" s="102" t="s">
        <v>137</v>
      </c>
      <c r="D10" s="9">
        <f>Decade1!M9</f>
        <v>1</v>
      </c>
      <c r="E10" s="9">
        <f>Decade1!N9</f>
        <v>0</v>
      </c>
      <c r="F10" s="64">
        <f>Decade1!O9</f>
        <v>2.2000000000000002</v>
      </c>
      <c r="G10" s="13">
        <f>Decade1!P9</f>
        <v>2.2000000000000002</v>
      </c>
      <c r="H10" s="16">
        <f>Decade2!M7</f>
        <v>0</v>
      </c>
      <c r="I10" s="9">
        <f>Decade2!N7</f>
        <v>0</v>
      </c>
      <c r="J10" s="69">
        <f>Decade2!O7</f>
        <v>0</v>
      </c>
      <c r="K10" s="67">
        <f>Decade2!P7</f>
        <v>0</v>
      </c>
      <c r="L10" s="18">
        <f>Decade3!N8</f>
        <v>0</v>
      </c>
      <c r="M10" s="10">
        <f>Decade3!O8</f>
        <v>0</v>
      </c>
      <c r="N10" s="66">
        <f>Decade3!P8</f>
        <v>0</v>
      </c>
      <c r="O10" s="14">
        <f>Decade3!Q8</f>
        <v>0</v>
      </c>
      <c r="P10" s="17">
        <f t="shared" si="0"/>
        <v>1</v>
      </c>
      <c r="Q10" s="5">
        <f t="shared" si="1"/>
        <v>0</v>
      </c>
      <c r="R10" s="7">
        <f t="shared" si="2"/>
        <v>2.2000000000000002</v>
      </c>
      <c r="S10" s="7">
        <f t="shared" si="3"/>
        <v>2.2000000000000002</v>
      </c>
    </row>
    <row r="11" spans="2:19" ht="34.5" customHeight="1" thickBot="1" x14ac:dyDescent="0.3">
      <c r="B11" s="278"/>
      <c r="C11" s="102" t="s">
        <v>85</v>
      </c>
      <c r="D11" s="9">
        <f>Decade1!M10</f>
        <v>0</v>
      </c>
      <c r="E11" s="9">
        <f>Decade1!N10</f>
        <v>0</v>
      </c>
      <c r="F11" s="64">
        <f>Decade1!O10</f>
        <v>0</v>
      </c>
      <c r="G11" s="13">
        <f>Decade1!P10</f>
        <v>0</v>
      </c>
      <c r="H11" s="16">
        <f>Decade2!M8</f>
        <v>0</v>
      </c>
      <c r="I11" s="9">
        <f>Decade2!N8</f>
        <v>0</v>
      </c>
      <c r="J11" s="69">
        <f>Decade2!O8</f>
        <v>0</v>
      </c>
      <c r="K11" s="67">
        <f>Decade2!P8</f>
        <v>0</v>
      </c>
      <c r="L11" s="18">
        <f>Decade3!N9</f>
        <v>0</v>
      </c>
      <c r="M11" s="10">
        <f>Decade3!O9</f>
        <v>0</v>
      </c>
      <c r="N11" s="66">
        <f>Decade3!P9</f>
        <v>0</v>
      </c>
      <c r="O11" s="14">
        <f>Decade3!Q9</f>
        <v>0</v>
      </c>
      <c r="P11" s="17">
        <f t="shared" si="0"/>
        <v>0</v>
      </c>
      <c r="Q11" s="5">
        <f t="shared" si="1"/>
        <v>0</v>
      </c>
      <c r="R11" s="7">
        <f t="shared" si="2"/>
        <v>0</v>
      </c>
      <c r="S11" s="7">
        <f t="shared" si="3"/>
        <v>0</v>
      </c>
    </row>
    <row r="12" spans="2:19" ht="34.5" customHeight="1" thickBot="1" x14ac:dyDescent="0.3">
      <c r="B12" s="278"/>
      <c r="C12" s="50" t="s">
        <v>93</v>
      </c>
      <c r="D12" s="9">
        <f>Decade1!M11</f>
        <v>0</v>
      </c>
      <c r="E12" s="9">
        <f>Decade1!N11</f>
        <v>0</v>
      </c>
      <c r="F12" s="64">
        <f>Decade1!O11</f>
        <v>0</v>
      </c>
      <c r="G12" s="13">
        <f>Decade1!P11</f>
        <v>0</v>
      </c>
      <c r="H12" s="16">
        <f>Decade2!M9</f>
        <v>0</v>
      </c>
      <c r="I12" s="9">
        <f>Decade2!N9</f>
        <v>0</v>
      </c>
      <c r="J12" s="69">
        <f>Decade2!O9</f>
        <v>0</v>
      </c>
      <c r="K12" s="67">
        <f>Decade2!P9</f>
        <v>0</v>
      </c>
      <c r="L12" s="18">
        <f>Decade3!N10</f>
        <v>0</v>
      </c>
      <c r="M12" s="10">
        <f>Decade3!O10</f>
        <v>0</v>
      </c>
      <c r="N12" s="66">
        <f>Decade3!P10</f>
        <v>0</v>
      </c>
      <c r="O12" s="14">
        <f>Decade3!Q10</f>
        <v>0</v>
      </c>
      <c r="P12" s="17">
        <f t="shared" si="0"/>
        <v>0</v>
      </c>
      <c r="Q12" s="5">
        <f t="shared" si="1"/>
        <v>0</v>
      </c>
      <c r="R12" s="7">
        <f t="shared" si="2"/>
        <v>0</v>
      </c>
      <c r="S12" s="7">
        <f t="shared" si="3"/>
        <v>0</v>
      </c>
    </row>
    <row r="13" spans="2:19" ht="23.25" customHeight="1" thickBot="1" x14ac:dyDescent="0.3">
      <c r="B13" s="278"/>
      <c r="C13" s="102" t="s">
        <v>117</v>
      </c>
      <c r="D13" s="9">
        <f>Decade1!M12</f>
        <v>0</v>
      </c>
      <c r="E13" s="9">
        <f>Decade1!N12</f>
        <v>0</v>
      </c>
      <c r="F13" s="64">
        <f>Decade1!O12</f>
        <v>0</v>
      </c>
      <c r="G13" s="13">
        <f>Decade1!P12</f>
        <v>0</v>
      </c>
      <c r="H13" s="16">
        <f>Decade2!M10</f>
        <v>0</v>
      </c>
      <c r="I13" s="9">
        <f>Decade2!N10</f>
        <v>0</v>
      </c>
      <c r="J13" s="69">
        <f>Decade2!O10</f>
        <v>0</v>
      </c>
      <c r="K13" s="67">
        <f>Decade2!P10</f>
        <v>0</v>
      </c>
      <c r="L13" s="18">
        <f>Decade3!N11</f>
        <v>0</v>
      </c>
      <c r="M13" s="10">
        <f>Decade3!O11</f>
        <v>0</v>
      </c>
      <c r="N13" s="66">
        <f>Decade3!P11</f>
        <v>0</v>
      </c>
      <c r="O13" s="14">
        <f>Decade3!Q11</f>
        <v>0</v>
      </c>
      <c r="P13" s="17">
        <f t="shared" si="0"/>
        <v>0</v>
      </c>
      <c r="Q13" s="5">
        <f t="shared" si="1"/>
        <v>0</v>
      </c>
      <c r="R13" s="7">
        <f t="shared" si="2"/>
        <v>0</v>
      </c>
      <c r="S13" s="7">
        <f t="shared" si="3"/>
        <v>0</v>
      </c>
    </row>
    <row r="14" spans="2:19" ht="21.75" customHeight="1" thickBot="1" x14ac:dyDescent="0.3">
      <c r="B14" s="278"/>
      <c r="C14" s="50" t="s">
        <v>138</v>
      </c>
      <c r="D14" s="9">
        <f>Decade1!M13</f>
        <v>0</v>
      </c>
      <c r="E14" s="9">
        <f>Decade1!N13</f>
        <v>0</v>
      </c>
      <c r="F14" s="64">
        <f>Decade1!O13</f>
        <v>0</v>
      </c>
      <c r="G14" s="13">
        <f>Decade1!P13</f>
        <v>0</v>
      </c>
      <c r="H14" s="16">
        <f>Decade2!M11</f>
        <v>0</v>
      </c>
      <c r="I14" s="9">
        <f>Decade2!N11</f>
        <v>0</v>
      </c>
      <c r="J14" s="69">
        <f>Decade2!O11</f>
        <v>0</v>
      </c>
      <c r="K14" s="67">
        <f>Decade2!P11</f>
        <v>0</v>
      </c>
      <c r="L14" s="18">
        <f>Decade3!N12</f>
        <v>0</v>
      </c>
      <c r="M14" s="10">
        <f>Decade3!O12</f>
        <v>0</v>
      </c>
      <c r="N14" s="66">
        <f>Decade3!P12</f>
        <v>0</v>
      </c>
      <c r="O14" s="14">
        <f>Decade3!Q12</f>
        <v>0</v>
      </c>
      <c r="P14" s="17">
        <f t="shared" si="0"/>
        <v>0</v>
      </c>
      <c r="Q14" s="5">
        <f t="shared" si="1"/>
        <v>0</v>
      </c>
      <c r="R14" s="7">
        <f t="shared" si="2"/>
        <v>0</v>
      </c>
      <c r="S14" s="7">
        <f t="shared" si="3"/>
        <v>0</v>
      </c>
    </row>
    <row r="15" spans="2:19" ht="23.25" customHeight="1" thickBot="1" x14ac:dyDescent="0.3">
      <c r="B15" s="278"/>
      <c r="C15" s="102" t="s">
        <v>112</v>
      </c>
      <c r="D15" s="9">
        <f>Decade1!M14</f>
        <v>0</v>
      </c>
      <c r="E15" s="9">
        <f>Decade1!N14</f>
        <v>0</v>
      </c>
      <c r="F15" s="64">
        <f>Decade1!O14</f>
        <v>0</v>
      </c>
      <c r="G15" s="13">
        <f>Decade1!P14</f>
        <v>0</v>
      </c>
      <c r="H15" s="16">
        <f>Decade2!M12</f>
        <v>0</v>
      </c>
      <c r="I15" s="9">
        <f>Decade2!N12</f>
        <v>0</v>
      </c>
      <c r="J15" s="69">
        <f>Decade2!O12</f>
        <v>0</v>
      </c>
      <c r="K15" s="67">
        <f>Decade2!P12</f>
        <v>0</v>
      </c>
      <c r="L15" s="18">
        <f>Decade3!N13</f>
        <v>0</v>
      </c>
      <c r="M15" s="10">
        <f>Decade3!O13</f>
        <v>0</v>
      </c>
      <c r="N15" s="66">
        <f>Decade3!P13</f>
        <v>0</v>
      </c>
      <c r="O15" s="14">
        <f>Decade3!Q13</f>
        <v>0</v>
      </c>
      <c r="P15" s="17">
        <f t="shared" si="0"/>
        <v>0</v>
      </c>
      <c r="Q15" s="5">
        <f t="shared" si="1"/>
        <v>0</v>
      </c>
      <c r="R15" s="7">
        <f t="shared" si="2"/>
        <v>0</v>
      </c>
      <c r="S15" s="7">
        <f t="shared" si="3"/>
        <v>0</v>
      </c>
    </row>
    <row r="16" spans="2:19" ht="25.5" customHeight="1" thickBot="1" x14ac:dyDescent="0.3">
      <c r="B16" s="278"/>
      <c r="C16" s="50" t="s">
        <v>3</v>
      </c>
      <c r="D16" s="9">
        <f>Decade1!M15</f>
        <v>0</v>
      </c>
      <c r="E16" s="9">
        <f>Decade1!N15</f>
        <v>0</v>
      </c>
      <c r="F16" s="64">
        <f>Decade1!O15</f>
        <v>0</v>
      </c>
      <c r="G16" s="13">
        <f>Decade1!P15</f>
        <v>0</v>
      </c>
      <c r="H16" s="16">
        <f>Decade2!M13</f>
        <v>0</v>
      </c>
      <c r="I16" s="9">
        <f>Decade2!N13</f>
        <v>0</v>
      </c>
      <c r="J16" s="69">
        <f>Decade2!O13</f>
        <v>0</v>
      </c>
      <c r="K16" s="67">
        <f>Decade2!P13</f>
        <v>0</v>
      </c>
      <c r="L16" s="18">
        <f>Decade3!N14</f>
        <v>0</v>
      </c>
      <c r="M16" s="10">
        <f>Decade3!O14</f>
        <v>0</v>
      </c>
      <c r="N16" s="66">
        <f>Decade3!P14</f>
        <v>0</v>
      </c>
      <c r="O16" s="14">
        <f>Decade3!Q14</f>
        <v>0</v>
      </c>
      <c r="P16" s="17">
        <f t="shared" si="0"/>
        <v>0</v>
      </c>
      <c r="Q16" s="5">
        <f t="shared" si="1"/>
        <v>0</v>
      </c>
      <c r="R16" s="7">
        <f t="shared" si="2"/>
        <v>0</v>
      </c>
      <c r="S16" s="7">
        <f t="shared" si="3"/>
        <v>0</v>
      </c>
    </row>
    <row r="17" spans="2:19" ht="21" customHeight="1" thickBot="1" x14ac:dyDescent="0.3">
      <c r="B17" s="278"/>
      <c r="C17" s="50" t="s">
        <v>4</v>
      </c>
      <c r="D17" s="9">
        <f>Decade1!M16</f>
        <v>0</v>
      </c>
      <c r="E17" s="9">
        <f>Decade1!N16</f>
        <v>0</v>
      </c>
      <c r="F17" s="64">
        <f>Decade1!O16</f>
        <v>0</v>
      </c>
      <c r="G17" s="13">
        <f>Decade1!P16</f>
        <v>0</v>
      </c>
      <c r="H17" s="16">
        <f>Decade2!M14</f>
        <v>0</v>
      </c>
      <c r="I17" s="9">
        <f>Decade2!N14</f>
        <v>0</v>
      </c>
      <c r="J17" s="69">
        <f>Decade2!O14</f>
        <v>0</v>
      </c>
      <c r="K17" s="67">
        <f>Decade2!P14</f>
        <v>0</v>
      </c>
      <c r="L17" s="18">
        <f>Decade3!N15</f>
        <v>0</v>
      </c>
      <c r="M17" s="10">
        <f>Decade3!O15</f>
        <v>0</v>
      </c>
      <c r="N17" s="66">
        <f>Decade3!P15</f>
        <v>0</v>
      </c>
      <c r="O17" s="14">
        <f>Decade3!Q15</f>
        <v>0</v>
      </c>
      <c r="P17" s="17">
        <f t="shared" si="0"/>
        <v>0</v>
      </c>
      <c r="Q17" s="5">
        <f t="shared" si="1"/>
        <v>0</v>
      </c>
      <c r="R17" s="7">
        <f t="shared" si="2"/>
        <v>0</v>
      </c>
      <c r="S17" s="7">
        <f t="shared" si="3"/>
        <v>0</v>
      </c>
    </row>
    <row r="18" spans="2:19" ht="22.5" customHeight="1" thickBot="1" x14ac:dyDescent="0.3">
      <c r="B18" s="278"/>
      <c r="C18" s="56" t="s">
        <v>139</v>
      </c>
      <c r="D18" s="9">
        <f>Decade1!M17</f>
        <v>0</v>
      </c>
      <c r="E18" s="9">
        <f>Decade1!N17</f>
        <v>0</v>
      </c>
      <c r="F18" s="64">
        <f>Decade1!O17</f>
        <v>0</v>
      </c>
      <c r="G18" s="13">
        <f>Decade1!P17</f>
        <v>0</v>
      </c>
      <c r="H18" s="16">
        <f>Decade2!M15</f>
        <v>1</v>
      </c>
      <c r="I18" s="9">
        <f>Decade2!N15</f>
        <v>0</v>
      </c>
      <c r="J18" s="69">
        <f>Decade2!O15</f>
        <v>0.3</v>
      </c>
      <c r="K18" s="67">
        <f>Decade2!P15</f>
        <v>0.3</v>
      </c>
      <c r="L18" s="18">
        <f>Decade3!N16</f>
        <v>2</v>
      </c>
      <c r="M18" s="10">
        <f>Decade3!O16</f>
        <v>0</v>
      </c>
      <c r="N18" s="66">
        <f>Decade3!P16</f>
        <v>0.6</v>
      </c>
      <c r="O18" s="14">
        <f>Decade3!Q16</f>
        <v>0.89999999999999991</v>
      </c>
      <c r="P18" s="17">
        <f t="shared" si="0"/>
        <v>3</v>
      </c>
      <c r="Q18" s="5">
        <f t="shared" si="1"/>
        <v>0</v>
      </c>
      <c r="R18" s="7">
        <f t="shared" si="2"/>
        <v>0.6</v>
      </c>
      <c r="S18" s="7">
        <f t="shared" si="3"/>
        <v>1.2</v>
      </c>
    </row>
    <row r="19" spans="2:19" ht="22.5" customHeight="1" thickBot="1" x14ac:dyDescent="0.3">
      <c r="B19" s="278"/>
      <c r="C19" s="98" t="s">
        <v>140</v>
      </c>
      <c r="D19" s="9">
        <f>Decade1!M18</f>
        <v>0</v>
      </c>
      <c r="E19" s="9">
        <f>Decade1!N18</f>
        <v>0</v>
      </c>
      <c r="F19" s="64">
        <f>Decade1!O18</f>
        <v>0</v>
      </c>
      <c r="G19" s="13">
        <f>Decade1!P18</f>
        <v>0</v>
      </c>
      <c r="H19" s="16">
        <f>Decade2!M16</f>
        <v>0</v>
      </c>
      <c r="I19" s="9">
        <f>Decade2!N16</f>
        <v>0</v>
      </c>
      <c r="J19" s="69">
        <f>Decade2!O16</f>
        <v>0</v>
      </c>
      <c r="K19" s="67">
        <f>Decade2!P16</f>
        <v>0</v>
      </c>
      <c r="L19" s="18">
        <f>Decade3!N17</f>
        <v>0</v>
      </c>
      <c r="M19" s="10">
        <f>Decade3!O17</f>
        <v>0</v>
      </c>
      <c r="N19" s="66">
        <f>Decade3!P17</f>
        <v>0</v>
      </c>
      <c r="O19" s="14">
        <f>Decade3!Q17</f>
        <v>0</v>
      </c>
      <c r="P19" s="17">
        <f t="shared" si="0"/>
        <v>0</v>
      </c>
      <c r="Q19" s="5">
        <f t="shared" si="1"/>
        <v>0</v>
      </c>
      <c r="R19" s="7">
        <f t="shared" si="2"/>
        <v>0</v>
      </c>
      <c r="S19" s="7">
        <f t="shared" si="3"/>
        <v>0</v>
      </c>
    </row>
    <row r="20" spans="2:19" ht="22.5" customHeight="1" thickBot="1" x14ac:dyDescent="0.3">
      <c r="B20" s="278"/>
      <c r="C20" s="98" t="s">
        <v>141</v>
      </c>
      <c r="D20" s="9">
        <f>Decade1!M19</f>
        <v>0</v>
      </c>
      <c r="E20" s="9">
        <f>Decade1!N19</f>
        <v>0</v>
      </c>
      <c r="F20" s="64">
        <f>Decade1!O19</f>
        <v>0</v>
      </c>
      <c r="G20" s="13">
        <f>Decade1!P19</f>
        <v>0</v>
      </c>
      <c r="H20" s="16">
        <f>Decade2!M17</f>
        <v>0</v>
      </c>
      <c r="I20" s="9">
        <f>Decade2!N17</f>
        <v>0</v>
      </c>
      <c r="J20" s="69">
        <f>Decade2!O17</f>
        <v>0</v>
      </c>
      <c r="K20" s="67">
        <f>Decade2!P17</f>
        <v>0</v>
      </c>
      <c r="L20" s="18">
        <f>Decade3!N18</f>
        <v>0</v>
      </c>
      <c r="M20" s="10">
        <f>Decade3!O18</f>
        <v>0</v>
      </c>
      <c r="N20" s="66">
        <f>Decade3!P18</f>
        <v>0</v>
      </c>
      <c r="O20" s="14">
        <f>Decade3!Q18</f>
        <v>0</v>
      </c>
      <c r="P20" s="17">
        <f t="shared" si="0"/>
        <v>0</v>
      </c>
      <c r="Q20" s="5">
        <f t="shared" si="1"/>
        <v>0</v>
      </c>
      <c r="R20" s="7">
        <f t="shared" si="2"/>
        <v>0</v>
      </c>
      <c r="S20" s="7">
        <f t="shared" si="3"/>
        <v>0</v>
      </c>
    </row>
    <row r="21" spans="2:19" ht="20.100000000000001" customHeight="1" thickBot="1" x14ac:dyDescent="0.3">
      <c r="B21" s="278"/>
      <c r="C21" s="98" t="s">
        <v>8</v>
      </c>
      <c r="D21" s="9">
        <f>Decade1!M20</f>
        <v>0</v>
      </c>
      <c r="E21" s="9">
        <f>Decade1!N20</f>
        <v>0</v>
      </c>
      <c r="F21" s="64">
        <f>Decade1!O20</f>
        <v>0</v>
      </c>
      <c r="G21" s="13">
        <f>Decade1!P20</f>
        <v>0</v>
      </c>
      <c r="H21" s="16">
        <f>Decade2!M18</f>
        <v>0</v>
      </c>
      <c r="I21" s="9">
        <f>Decade2!N18</f>
        <v>0</v>
      </c>
      <c r="J21" s="69">
        <f>Decade2!O18</f>
        <v>0</v>
      </c>
      <c r="K21" s="67">
        <f>Decade2!P18</f>
        <v>0</v>
      </c>
      <c r="L21" s="18">
        <f>Decade3!N19</f>
        <v>0</v>
      </c>
      <c r="M21" s="10">
        <f>Decade3!O19</f>
        <v>0</v>
      </c>
      <c r="N21" s="66">
        <f>Decade3!P19</f>
        <v>0</v>
      </c>
      <c r="O21" s="14">
        <f>Decade3!Q19</f>
        <v>0</v>
      </c>
      <c r="P21" s="17">
        <f t="shared" si="0"/>
        <v>0</v>
      </c>
      <c r="Q21" s="5">
        <f t="shared" si="1"/>
        <v>0</v>
      </c>
      <c r="R21" s="7">
        <f t="shared" si="2"/>
        <v>0</v>
      </c>
      <c r="S21" s="7">
        <f t="shared" si="3"/>
        <v>0</v>
      </c>
    </row>
    <row r="22" spans="2:19" ht="20.100000000000001" customHeight="1" thickBot="1" x14ac:dyDescent="0.3">
      <c r="B22" s="279"/>
      <c r="C22" s="98" t="s">
        <v>146</v>
      </c>
      <c r="D22" s="9">
        <f>Decade1!M21</f>
        <v>0</v>
      </c>
      <c r="E22" s="9">
        <f>Decade1!N21</f>
        <v>0</v>
      </c>
      <c r="F22" s="64">
        <f>Decade1!O21</f>
        <v>0</v>
      </c>
      <c r="G22" s="13">
        <f>Decade1!P21</f>
        <v>0</v>
      </c>
      <c r="H22" s="16">
        <f>Decade2!M19</f>
        <v>0</v>
      </c>
      <c r="I22" s="9">
        <f>Decade2!N19</f>
        <v>0</v>
      </c>
      <c r="J22" s="69">
        <f>Decade2!O19</f>
        <v>0</v>
      </c>
      <c r="K22" s="67">
        <f>Decade2!P19</f>
        <v>0</v>
      </c>
      <c r="L22" s="18">
        <f>Decade3!N20</f>
        <v>0</v>
      </c>
      <c r="M22" s="10">
        <f>Decade3!O20</f>
        <v>0</v>
      </c>
      <c r="N22" s="66">
        <f>Decade3!P20</f>
        <v>0</v>
      </c>
      <c r="O22" s="14">
        <f>Decade3!Q20</f>
        <v>0</v>
      </c>
      <c r="P22" s="17">
        <f>SUM(D22,H22,L22)</f>
        <v>0</v>
      </c>
      <c r="Q22" s="5">
        <f>SUM(E22,I22,M22)</f>
        <v>0</v>
      </c>
      <c r="R22" s="7">
        <f>MAX(F22,J22,N22)</f>
        <v>0</v>
      </c>
      <c r="S22" s="7">
        <f>SUM(G22,K22,O22)</f>
        <v>0</v>
      </c>
    </row>
    <row r="23" spans="2:19" ht="20.100000000000001" customHeight="1" x14ac:dyDescent="0.25">
      <c r="B23" s="93"/>
      <c r="C23" s="56"/>
      <c r="D23" s="77"/>
      <c r="E23" s="77"/>
      <c r="F23" s="33"/>
      <c r="G23" s="33"/>
      <c r="H23" s="77"/>
      <c r="I23" s="77"/>
      <c r="J23" s="33"/>
      <c r="K23" s="33"/>
      <c r="L23" s="77"/>
      <c r="M23" s="77"/>
      <c r="N23" s="33"/>
      <c r="O23" s="33"/>
      <c r="P23" s="77"/>
      <c r="Q23" s="77"/>
      <c r="R23" s="33"/>
      <c r="S23" s="33"/>
    </row>
    <row r="24" spans="2:19" ht="20.100000000000001" customHeight="1" x14ac:dyDescent="0.25">
      <c r="B24" s="239" t="s">
        <v>95</v>
      </c>
      <c r="C24" s="239"/>
      <c r="D24" s="239"/>
      <c r="E24" s="239"/>
      <c r="F24" s="239"/>
      <c r="G24" s="239"/>
      <c r="H24" s="239"/>
      <c r="I24" s="239"/>
      <c r="J24" s="239"/>
      <c r="K24" s="239"/>
      <c r="L24" s="239"/>
      <c r="M24" s="239"/>
      <c r="N24" s="239"/>
      <c r="O24" s="239"/>
      <c r="P24" s="239"/>
      <c r="Q24" s="239"/>
      <c r="R24" s="239"/>
      <c r="S24" s="239"/>
    </row>
    <row r="25" spans="2:19" ht="20.100000000000001" customHeight="1" x14ac:dyDescent="0.25"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</row>
    <row r="26" spans="2:19" ht="20.100000000000001" customHeight="1" x14ac:dyDescent="0.25"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</row>
    <row r="27" spans="2:19" ht="20.100000000000001" customHeight="1" x14ac:dyDescent="0.25"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</row>
    <row r="28" spans="2:19" ht="20.100000000000001" customHeight="1" x14ac:dyDescent="0.25"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</row>
    <row r="29" spans="2:19" ht="20.100000000000001" customHeight="1" x14ac:dyDescent="0.25"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</row>
    <row r="30" spans="2:19" ht="20.100000000000001" customHeight="1" x14ac:dyDescent="0.25"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</row>
    <row r="31" spans="2:19" ht="20.100000000000001" customHeight="1" x14ac:dyDescent="0.25"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</row>
    <row r="32" spans="2:19" ht="24" customHeight="1" x14ac:dyDescent="0.25">
      <c r="B32" s="49" t="s">
        <v>100</v>
      </c>
      <c r="F32"/>
      <c r="J32"/>
      <c r="N32"/>
    </row>
    <row r="33" spans="2:19" ht="18" customHeight="1" x14ac:dyDescent="0.25">
      <c r="B33" s="49" t="s">
        <v>101</v>
      </c>
      <c r="F33"/>
      <c r="J33"/>
      <c r="N33"/>
    </row>
    <row r="34" spans="2:19" s="76" customFormat="1" ht="20.25" customHeight="1" thickBot="1" x14ac:dyDescent="0.3">
      <c r="B34" s="75" t="s">
        <v>102</v>
      </c>
    </row>
    <row r="35" spans="2:19" ht="20.100000000000001" customHeight="1" thickBot="1" x14ac:dyDescent="0.3">
      <c r="B35" s="277" t="s">
        <v>1</v>
      </c>
      <c r="C35" s="277" t="s">
        <v>2</v>
      </c>
      <c r="D35" s="233" t="str">
        <f>D5</f>
        <v>CUMUL PLUVIOMETRIQUE MENSUEL:  AOUT 2024</v>
      </c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5"/>
    </row>
    <row r="36" spans="2:19" ht="20.100000000000001" customHeight="1" thickBot="1" x14ac:dyDescent="0.3">
      <c r="B36" s="278"/>
      <c r="C36" s="278"/>
      <c r="D36" s="285" t="s">
        <v>86</v>
      </c>
      <c r="E36" s="286"/>
      <c r="F36" s="286"/>
      <c r="G36" s="287"/>
      <c r="H36" s="288" t="s">
        <v>87</v>
      </c>
      <c r="I36" s="286"/>
      <c r="J36" s="286"/>
      <c r="K36" s="287"/>
      <c r="L36" s="288" t="s">
        <v>88</v>
      </c>
      <c r="M36" s="286"/>
      <c r="N36" s="286"/>
      <c r="O36" s="287"/>
      <c r="P36" s="280" t="s">
        <v>0</v>
      </c>
      <c r="Q36" s="280"/>
      <c r="R36" s="280"/>
      <c r="S36" s="281"/>
    </row>
    <row r="37" spans="2:19" ht="24" customHeight="1" thickBot="1" x14ac:dyDescent="0.3">
      <c r="B37" s="278"/>
      <c r="C37" s="279"/>
      <c r="D37" s="8" t="s">
        <v>89</v>
      </c>
      <c r="E37" s="8" t="s">
        <v>90</v>
      </c>
      <c r="F37" s="63" t="s">
        <v>106</v>
      </c>
      <c r="G37" s="12" t="s">
        <v>92</v>
      </c>
      <c r="H37" s="15" t="s">
        <v>89</v>
      </c>
      <c r="I37" s="8" t="s">
        <v>91</v>
      </c>
      <c r="J37" s="74" t="s">
        <v>106</v>
      </c>
      <c r="K37" s="73" t="s">
        <v>92</v>
      </c>
      <c r="L37" s="15" t="s">
        <v>89</v>
      </c>
      <c r="M37" s="8" t="s">
        <v>91</v>
      </c>
      <c r="N37" s="63" t="s">
        <v>106</v>
      </c>
      <c r="O37" s="12" t="s">
        <v>92</v>
      </c>
      <c r="P37" s="11" t="s">
        <v>89</v>
      </c>
      <c r="Q37" s="8" t="s">
        <v>91</v>
      </c>
      <c r="R37" s="8" t="s">
        <v>106</v>
      </c>
      <c r="S37" s="8" t="s">
        <v>92</v>
      </c>
    </row>
    <row r="38" spans="2:19" ht="24.95" customHeight="1" thickBot="1" x14ac:dyDescent="0.3">
      <c r="B38" s="277" t="s">
        <v>79</v>
      </c>
      <c r="C38" s="3" t="s">
        <v>10</v>
      </c>
      <c r="D38" s="9">
        <f>Decade1!M31</f>
        <v>0</v>
      </c>
      <c r="E38" s="9">
        <f>Decade1!N31</f>
        <v>0</v>
      </c>
      <c r="F38" s="64">
        <f>Decade1!O31</f>
        <v>0</v>
      </c>
      <c r="G38" s="13">
        <f>Decade1!P31</f>
        <v>0</v>
      </c>
      <c r="H38" s="16">
        <f>Decade2!M25</f>
        <v>6</v>
      </c>
      <c r="I38" s="9">
        <f>Decade2!N25</f>
        <v>3</v>
      </c>
      <c r="J38" s="70">
        <f>Decade2!O25</f>
        <v>31</v>
      </c>
      <c r="K38" s="68">
        <f>Decade2!P25</f>
        <v>104</v>
      </c>
      <c r="L38" s="18">
        <f>Decade3!N26</f>
        <v>0</v>
      </c>
      <c r="M38" s="10">
        <f>Decade3!O26</f>
        <v>0</v>
      </c>
      <c r="N38" s="66">
        <f>Decade3!P26</f>
        <v>0</v>
      </c>
      <c r="O38" s="14">
        <f>Decade3!Q26</f>
        <v>0</v>
      </c>
      <c r="P38" s="29">
        <f>SUM(D38,H38,L38)</f>
        <v>6</v>
      </c>
      <c r="Q38" s="30">
        <f>SUM(E38,I38,M38)</f>
        <v>3</v>
      </c>
      <c r="R38" s="7">
        <f>MAX(F38,J38,N38)</f>
        <v>31</v>
      </c>
      <c r="S38" s="31">
        <f>SUM(G38,K38,O38)</f>
        <v>104</v>
      </c>
    </row>
    <row r="39" spans="2:19" ht="31.5" customHeight="1" thickBot="1" x14ac:dyDescent="0.3">
      <c r="B39" s="278"/>
      <c r="C39" s="3" t="s">
        <v>11</v>
      </c>
      <c r="D39" s="9">
        <f>Decade1!M32</f>
        <v>5</v>
      </c>
      <c r="E39" s="9">
        <f>Decade1!N32</f>
        <v>3</v>
      </c>
      <c r="F39" s="64">
        <f>Decade1!O32</f>
        <v>62.8</v>
      </c>
      <c r="G39" s="13">
        <f>Decade1!P32</f>
        <v>117.3</v>
      </c>
      <c r="H39" s="16">
        <f>Decade2!M26</f>
        <v>4</v>
      </c>
      <c r="I39" s="9">
        <f>Decade2!N26</f>
        <v>2</v>
      </c>
      <c r="J39" s="70">
        <f>Decade2!O26</f>
        <v>32.799999999999997</v>
      </c>
      <c r="K39" s="68">
        <f>Decade2!P26</f>
        <v>80.5</v>
      </c>
      <c r="L39" s="18">
        <f>Decade3!N27</f>
        <v>0</v>
      </c>
      <c r="M39" s="10">
        <f>Decade3!O27</f>
        <v>0</v>
      </c>
      <c r="N39" s="66">
        <f>Decade3!P27</f>
        <v>0</v>
      </c>
      <c r="O39" s="14">
        <f>Decade3!Q27</f>
        <v>0</v>
      </c>
      <c r="P39" s="29">
        <f t="shared" ref="P39:P54" si="4">SUM(D39,H39,L39)</f>
        <v>9</v>
      </c>
      <c r="Q39" s="30">
        <f t="shared" ref="Q39:Q54" si="5">SUM(E39,I39,M39)</f>
        <v>5</v>
      </c>
      <c r="R39" s="7">
        <f t="shared" ref="R39:R54" si="6">MAX(F39,J39,N39)</f>
        <v>62.8</v>
      </c>
      <c r="S39" s="31">
        <f t="shared" ref="S39:S54" si="7">SUM(G39,K39,O39)</f>
        <v>197.8</v>
      </c>
    </row>
    <row r="40" spans="2:19" ht="24.95" customHeight="1" thickBot="1" x14ac:dyDescent="0.3">
      <c r="B40" s="278"/>
      <c r="C40" s="3" t="s">
        <v>13</v>
      </c>
      <c r="D40" s="9">
        <f>Decade1!M33</f>
        <v>0</v>
      </c>
      <c r="E40" s="9">
        <f>Decade1!N33</f>
        <v>0</v>
      </c>
      <c r="F40" s="64">
        <f>Decade1!O33</f>
        <v>0</v>
      </c>
      <c r="G40" s="13">
        <f>Decade1!P33</f>
        <v>0</v>
      </c>
      <c r="H40" s="16">
        <f>Decade2!M27</f>
        <v>7</v>
      </c>
      <c r="I40" s="9">
        <f>Decade2!N27</f>
        <v>2</v>
      </c>
      <c r="J40" s="70">
        <f>Decade2!O27</f>
        <v>70.099999999999994</v>
      </c>
      <c r="K40" s="68">
        <f>Decade2!P27</f>
        <v>150.79999999999998</v>
      </c>
      <c r="L40" s="18">
        <f>Decade3!N28</f>
        <v>4</v>
      </c>
      <c r="M40" s="10">
        <f>Decade3!O28</f>
        <v>2</v>
      </c>
      <c r="N40" s="66">
        <f>Decade3!P28</f>
        <v>25.8</v>
      </c>
      <c r="O40" s="14">
        <f>Decade3!Q28</f>
        <v>72.099999999999994</v>
      </c>
      <c r="P40" s="29">
        <f t="shared" si="4"/>
        <v>11</v>
      </c>
      <c r="Q40" s="30">
        <f t="shared" si="5"/>
        <v>4</v>
      </c>
      <c r="R40" s="7">
        <f t="shared" si="6"/>
        <v>70.099999999999994</v>
      </c>
      <c r="S40" s="31">
        <f t="shared" si="7"/>
        <v>222.89999999999998</v>
      </c>
    </row>
    <row r="41" spans="2:19" ht="24.95" customHeight="1" thickBot="1" x14ac:dyDescent="0.3">
      <c r="B41" s="278"/>
      <c r="C41" s="3" t="s">
        <v>15</v>
      </c>
      <c r="D41" s="9">
        <f>Decade1!M34</f>
        <v>7</v>
      </c>
      <c r="E41" s="9">
        <f>Decade1!N34</f>
        <v>0</v>
      </c>
      <c r="F41" s="64">
        <f>Decade1!O34</f>
        <v>19.2</v>
      </c>
      <c r="G41" s="13">
        <f>Decade1!P34</f>
        <v>79.599999999999994</v>
      </c>
      <c r="H41" s="16">
        <f>Decade2!M28</f>
        <v>5</v>
      </c>
      <c r="I41" s="9">
        <f>Decade2!N28</f>
        <v>4</v>
      </c>
      <c r="J41" s="70">
        <f>Decade2!O28</f>
        <v>57.8</v>
      </c>
      <c r="K41" s="68">
        <f>Decade2!P28</f>
        <v>166.20000000000002</v>
      </c>
      <c r="L41" s="18">
        <f>Decade3!N29</f>
        <v>6</v>
      </c>
      <c r="M41" s="10">
        <f>Decade3!O29</f>
        <v>1</v>
      </c>
      <c r="N41" s="66">
        <f>Decade3!P29</f>
        <v>41</v>
      </c>
      <c r="O41" s="14">
        <f>Decade3!Q29</f>
        <v>80.5</v>
      </c>
      <c r="P41" s="29">
        <f t="shared" si="4"/>
        <v>18</v>
      </c>
      <c r="Q41" s="30">
        <f t="shared" si="5"/>
        <v>5</v>
      </c>
      <c r="R41" s="7">
        <f t="shared" si="6"/>
        <v>57.8</v>
      </c>
      <c r="S41" s="31">
        <f t="shared" si="7"/>
        <v>326.3</v>
      </c>
    </row>
    <row r="42" spans="2:19" ht="24.95" customHeight="1" thickBot="1" x14ac:dyDescent="0.3">
      <c r="B42" s="278"/>
      <c r="C42" s="3" t="s">
        <v>16</v>
      </c>
      <c r="D42" s="9">
        <f>Decade1!M35</f>
        <v>0</v>
      </c>
      <c r="E42" s="9">
        <f>Decade1!N35</f>
        <v>0</v>
      </c>
      <c r="F42" s="64">
        <f>Decade1!O35</f>
        <v>0</v>
      </c>
      <c r="G42" s="13">
        <f>Decade1!P35</f>
        <v>0</v>
      </c>
      <c r="H42" s="16">
        <f>Decade2!M29</f>
        <v>6</v>
      </c>
      <c r="I42" s="9">
        <f>Decade2!N29</f>
        <v>2</v>
      </c>
      <c r="J42" s="70">
        <f>Decade2!O29</f>
        <v>65</v>
      </c>
      <c r="K42" s="68">
        <f>Decade2!P29</f>
        <v>122.69999999999999</v>
      </c>
      <c r="L42" s="18">
        <f>Decade3!N30</f>
        <v>7</v>
      </c>
      <c r="M42" s="10">
        <f>Decade3!O30</f>
        <v>2</v>
      </c>
      <c r="N42" s="66">
        <f>Decade3!P30</f>
        <v>42.2</v>
      </c>
      <c r="O42" s="14">
        <f>Decade3!Q30</f>
        <v>115.29999999999998</v>
      </c>
      <c r="P42" s="29">
        <f t="shared" si="4"/>
        <v>13</v>
      </c>
      <c r="Q42" s="30">
        <f t="shared" si="5"/>
        <v>4</v>
      </c>
      <c r="R42" s="7">
        <f t="shared" si="6"/>
        <v>65</v>
      </c>
      <c r="S42" s="31">
        <f t="shared" si="7"/>
        <v>237.99999999999997</v>
      </c>
    </row>
    <row r="43" spans="2:19" ht="24.95" customHeight="1" thickBot="1" x14ac:dyDescent="0.3">
      <c r="B43" s="278"/>
      <c r="C43" s="3" t="s">
        <v>20</v>
      </c>
      <c r="D43" s="9">
        <f>Decade1!M36</f>
        <v>5</v>
      </c>
      <c r="E43" s="9">
        <f>Decade1!N36</f>
        <v>4</v>
      </c>
      <c r="F43" s="64">
        <f>Decade1!O36</f>
        <v>54.6</v>
      </c>
      <c r="G43" s="13">
        <f>Decade1!P36</f>
        <v>176</v>
      </c>
      <c r="H43" s="16">
        <f>Decade2!M30</f>
        <v>3</v>
      </c>
      <c r="I43" s="9">
        <f>Decade2!N30</f>
        <v>1</v>
      </c>
      <c r="J43" s="70">
        <f>Decade2!O30</f>
        <v>68.900000000000006</v>
      </c>
      <c r="K43" s="68">
        <f>Decade2!P30</f>
        <v>104.30000000000001</v>
      </c>
      <c r="L43" s="18">
        <f>Decade3!N31</f>
        <v>3</v>
      </c>
      <c r="M43" s="10">
        <f>Decade3!O31</f>
        <v>2</v>
      </c>
      <c r="N43" s="66">
        <f>Decade3!P31</f>
        <v>47.7</v>
      </c>
      <c r="O43" s="14">
        <f>Decade3!Q31</f>
        <v>108.4</v>
      </c>
      <c r="P43" s="29">
        <f t="shared" si="4"/>
        <v>11</v>
      </c>
      <c r="Q43" s="30">
        <f t="shared" si="5"/>
        <v>7</v>
      </c>
      <c r="R43" s="7">
        <f t="shared" si="6"/>
        <v>68.900000000000006</v>
      </c>
      <c r="S43" s="31">
        <f t="shared" si="7"/>
        <v>388.70000000000005</v>
      </c>
    </row>
    <row r="44" spans="2:19" ht="24.95" customHeight="1" thickBot="1" x14ac:dyDescent="0.3">
      <c r="B44" s="278"/>
      <c r="C44" s="35" t="s">
        <v>132</v>
      </c>
      <c r="D44" s="9">
        <f>Decade1!M37</f>
        <v>6</v>
      </c>
      <c r="E44" s="9">
        <f>Decade1!N37</f>
        <v>2</v>
      </c>
      <c r="F44" s="64">
        <f>Decade1!O37</f>
        <v>122</v>
      </c>
      <c r="G44" s="13">
        <f>Decade1!P37</f>
        <v>180.29999999999998</v>
      </c>
      <c r="H44" s="16">
        <f>Decade2!M31</f>
        <v>7</v>
      </c>
      <c r="I44" s="9">
        <f>Decade2!N31</f>
        <v>3</v>
      </c>
      <c r="J44" s="70">
        <f>Decade2!O31</f>
        <v>43.1</v>
      </c>
      <c r="K44" s="68">
        <f>Decade2!P31</f>
        <v>124.1</v>
      </c>
      <c r="L44" s="18">
        <f>Decade3!N32</f>
        <v>5</v>
      </c>
      <c r="M44" s="10">
        <f>Decade3!O32</f>
        <v>0</v>
      </c>
      <c r="N44" s="66">
        <f>Decade3!P32</f>
        <v>19</v>
      </c>
      <c r="O44" s="14">
        <f>Decade3!Q32</f>
        <v>66.599999999999994</v>
      </c>
      <c r="P44" s="29">
        <f t="shared" si="4"/>
        <v>18</v>
      </c>
      <c r="Q44" s="30">
        <f t="shared" si="5"/>
        <v>5</v>
      </c>
      <c r="R44" s="7">
        <f t="shared" si="6"/>
        <v>122</v>
      </c>
      <c r="S44" s="31">
        <f t="shared" si="7"/>
        <v>371</v>
      </c>
    </row>
    <row r="45" spans="2:19" ht="24.95" customHeight="1" thickBot="1" x14ac:dyDescent="0.3">
      <c r="B45" s="278"/>
      <c r="C45" s="35" t="s">
        <v>19</v>
      </c>
      <c r="D45" s="9">
        <f>Decade1!M38</f>
        <v>0</v>
      </c>
      <c r="E45" s="9">
        <f>Decade1!N38</f>
        <v>0</v>
      </c>
      <c r="F45" s="64">
        <f>Decade1!O38</f>
        <v>0</v>
      </c>
      <c r="G45" s="13">
        <f>Decade1!P38</f>
        <v>0</v>
      </c>
      <c r="H45" s="16">
        <f>Decade2!M32</f>
        <v>0</v>
      </c>
      <c r="I45" s="9">
        <f>Decade2!N32</f>
        <v>0</v>
      </c>
      <c r="J45" s="70">
        <f>Decade2!O32</f>
        <v>0</v>
      </c>
      <c r="K45" s="68">
        <f>Decade2!P32</f>
        <v>0</v>
      </c>
      <c r="L45" s="18">
        <f>Decade3!N33</f>
        <v>0</v>
      </c>
      <c r="M45" s="10">
        <f>Decade3!O33</f>
        <v>0</v>
      </c>
      <c r="N45" s="66">
        <f>Decade3!P33</f>
        <v>0</v>
      </c>
      <c r="O45" s="14">
        <f>Decade3!Q33</f>
        <v>0</v>
      </c>
      <c r="P45" s="29">
        <f t="shared" si="4"/>
        <v>0</v>
      </c>
      <c r="Q45" s="30">
        <f t="shared" si="5"/>
        <v>0</v>
      </c>
      <c r="R45" s="7">
        <f t="shared" si="6"/>
        <v>0</v>
      </c>
      <c r="S45" s="31">
        <f t="shared" si="7"/>
        <v>0</v>
      </c>
    </row>
    <row r="46" spans="2:19" ht="24.95" customHeight="1" thickBot="1" x14ac:dyDescent="0.3">
      <c r="B46" s="278"/>
      <c r="C46" s="3" t="s">
        <v>133</v>
      </c>
      <c r="D46" s="9">
        <f>Decade1!M39</f>
        <v>0</v>
      </c>
      <c r="E46" s="9">
        <f>Decade1!N39</f>
        <v>0</v>
      </c>
      <c r="F46" s="64">
        <f>Decade1!O39</f>
        <v>0</v>
      </c>
      <c r="G46" s="13">
        <f>Decade1!P39</f>
        <v>0</v>
      </c>
      <c r="H46" s="16">
        <f>Decade2!M33</f>
        <v>0</v>
      </c>
      <c r="I46" s="9">
        <f>Decade2!N33</f>
        <v>0</v>
      </c>
      <c r="J46" s="70">
        <f>Decade2!O33</f>
        <v>0</v>
      </c>
      <c r="K46" s="68">
        <f>Decade2!P33</f>
        <v>0</v>
      </c>
      <c r="L46" s="18">
        <f>Decade3!N34</f>
        <v>6</v>
      </c>
      <c r="M46" s="10">
        <f>Decade3!O34</f>
        <v>0</v>
      </c>
      <c r="N46" s="66">
        <f>Decade3!P34</f>
        <v>10.3</v>
      </c>
      <c r="O46" s="14">
        <f>Decade3!Q34</f>
        <v>29</v>
      </c>
      <c r="P46" s="29">
        <f t="shared" si="4"/>
        <v>6</v>
      </c>
      <c r="Q46" s="30">
        <f t="shared" si="5"/>
        <v>0</v>
      </c>
      <c r="R46" s="7">
        <f t="shared" si="6"/>
        <v>10.3</v>
      </c>
      <c r="S46" s="31">
        <f t="shared" si="7"/>
        <v>29</v>
      </c>
    </row>
    <row r="47" spans="2:19" ht="24.95" customHeight="1" thickBot="1" x14ac:dyDescent="0.3">
      <c r="B47" s="278"/>
      <c r="C47" s="3" t="s">
        <v>84</v>
      </c>
      <c r="D47" s="9">
        <f>Decade1!M40</f>
        <v>5</v>
      </c>
      <c r="E47" s="9">
        <f>Decade1!N40</f>
        <v>0</v>
      </c>
      <c r="F47" s="64">
        <f>Decade1!O40</f>
        <v>19.600000000000001</v>
      </c>
      <c r="G47" s="13">
        <f>Decade1!P40</f>
        <v>50.100000000000009</v>
      </c>
      <c r="H47" s="16">
        <f>Decade2!M34</f>
        <v>3</v>
      </c>
      <c r="I47" s="9">
        <f>Decade2!N34</f>
        <v>2</v>
      </c>
      <c r="J47" s="70">
        <f>Decade2!O34</f>
        <v>90.9</v>
      </c>
      <c r="K47" s="68">
        <f>Decade2!P34</f>
        <v>125.3</v>
      </c>
      <c r="L47" s="18">
        <f>Decade3!N35</f>
        <v>0</v>
      </c>
      <c r="M47" s="10">
        <f>Decade3!O35</f>
        <v>0</v>
      </c>
      <c r="N47" s="66">
        <f>Decade3!P35</f>
        <v>0</v>
      </c>
      <c r="O47" s="14">
        <f>Decade3!Q35</f>
        <v>0</v>
      </c>
      <c r="P47" s="29">
        <f t="shared" si="4"/>
        <v>8</v>
      </c>
      <c r="Q47" s="30">
        <f t="shared" si="5"/>
        <v>2</v>
      </c>
      <c r="R47" s="7">
        <f t="shared" si="6"/>
        <v>90.9</v>
      </c>
      <c r="S47" s="31">
        <f t="shared" si="7"/>
        <v>175.4</v>
      </c>
    </row>
    <row r="48" spans="2:19" ht="24.95" customHeight="1" thickBot="1" x14ac:dyDescent="0.3">
      <c r="B48" s="278"/>
      <c r="C48" s="3" t="s">
        <v>94</v>
      </c>
      <c r="D48" s="9">
        <f>Decade1!M41</f>
        <v>0</v>
      </c>
      <c r="E48" s="9">
        <f>Decade1!N41</f>
        <v>0</v>
      </c>
      <c r="F48" s="64">
        <f>Decade1!O41</f>
        <v>0</v>
      </c>
      <c r="G48" s="13">
        <f>Decade1!P41</f>
        <v>0</v>
      </c>
      <c r="H48" s="16">
        <f>Decade2!M35</f>
        <v>0</v>
      </c>
      <c r="I48" s="9">
        <f>Decade2!N35</f>
        <v>0</v>
      </c>
      <c r="J48" s="70">
        <f>Decade2!O35</f>
        <v>0</v>
      </c>
      <c r="K48" s="68">
        <f>Decade2!P35</f>
        <v>0</v>
      </c>
      <c r="L48" s="18">
        <f>Decade3!N36</f>
        <v>5</v>
      </c>
      <c r="M48" s="10">
        <f>Decade3!O36</f>
        <v>1</v>
      </c>
      <c r="N48" s="66">
        <f>Decade3!P36</f>
        <v>20.3</v>
      </c>
      <c r="O48" s="14">
        <f>Decade3!Q36</f>
        <v>67.899999999999991</v>
      </c>
      <c r="P48" s="29">
        <f t="shared" si="4"/>
        <v>5</v>
      </c>
      <c r="Q48" s="30">
        <f t="shared" si="5"/>
        <v>1</v>
      </c>
      <c r="R48" s="7">
        <f t="shared" si="6"/>
        <v>20.3</v>
      </c>
      <c r="S48" s="31">
        <f t="shared" si="7"/>
        <v>67.899999999999991</v>
      </c>
    </row>
    <row r="49" spans="2:19" ht="24.95" customHeight="1" thickBot="1" x14ac:dyDescent="0.3">
      <c r="B49" s="278"/>
      <c r="C49" s="3" t="s">
        <v>9</v>
      </c>
      <c r="D49" s="9">
        <f>Decade1!M42</f>
        <v>4</v>
      </c>
      <c r="E49" s="9">
        <f>Decade1!N42</f>
        <v>1</v>
      </c>
      <c r="F49" s="64">
        <f>Decade1!O42</f>
        <v>64</v>
      </c>
      <c r="G49" s="13">
        <f>Decade1!P42</f>
        <v>89.6</v>
      </c>
      <c r="H49" s="16">
        <f>Decade2!M36</f>
        <v>2</v>
      </c>
      <c r="I49" s="9">
        <f>Decade2!N36</f>
        <v>0</v>
      </c>
      <c r="J49" s="70">
        <f>Decade2!O36</f>
        <v>3.7</v>
      </c>
      <c r="K49" s="68">
        <f>Decade2!P36</f>
        <v>6.1</v>
      </c>
      <c r="L49" s="18">
        <f>Decade3!N37</f>
        <v>3</v>
      </c>
      <c r="M49" s="10">
        <f>Decade3!O37</f>
        <v>3</v>
      </c>
      <c r="N49" s="66">
        <f>Decade3!P37</f>
        <v>29.2</v>
      </c>
      <c r="O49" s="14">
        <f>Decade3!Q37</f>
        <v>82.5</v>
      </c>
      <c r="P49" s="29">
        <f t="shared" si="4"/>
        <v>9</v>
      </c>
      <c r="Q49" s="30">
        <f t="shared" si="5"/>
        <v>4</v>
      </c>
      <c r="R49" s="7">
        <f t="shared" si="6"/>
        <v>64</v>
      </c>
      <c r="S49" s="31">
        <f t="shared" si="7"/>
        <v>178.2</v>
      </c>
    </row>
    <row r="50" spans="2:19" ht="24.95" customHeight="1" thickBot="1" x14ac:dyDescent="0.3">
      <c r="B50" s="278"/>
      <c r="C50" s="3" t="s">
        <v>14</v>
      </c>
      <c r="D50" s="9">
        <f>Decade1!M43</f>
        <v>6</v>
      </c>
      <c r="E50" s="9">
        <f>Decade1!N43</f>
        <v>2</v>
      </c>
      <c r="F50" s="64">
        <f>Decade1!O43</f>
        <v>27.4</v>
      </c>
      <c r="G50" s="13">
        <f>Decade1!P43</f>
        <v>77.500000000000014</v>
      </c>
      <c r="H50" s="16">
        <f>Decade2!M37</f>
        <v>0</v>
      </c>
      <c r="I50" s="9">
        <f>Decade2!N37</f>
        <v>0</v>
      </c>
      <c r="J50" s="70">
        <f>Decade2!O37</f>
        <v>0</v>
      </c>
      <c r="K50" s="68">
        <f>Decade2!P37</f>
        <v>0</v>
      </c>
      <c r="L50" s="18">
        <f>Decade3!N38</f>
        <v>6</v>
      </c>
      <c r="M50" s="10">
        <f>Decade3!O38</f>
        <v>2</v>
      </c>
      <c r="N50" s="66">
        <f>Decade3!P38</f>
        <v>30.7</v>
      </c>
      <c r="O50" s="14">
        <f>Decade3!Q38</f>
        <v>100.50000000000001</v>
      </c>
      <c r="P50" s="29">
        <f t="shared" si="4"/>
        <v>12</v>
      </c>
      <c r="Q50" s="30">
        <f t="shared" si="5"/>
        <v>4</v>
      </c>
      <c r="R50" s="7">
        <f t="shared" si="6"/>
        <v>30.7</v>
      </c>
      <c r="S50" s="31">
        <f t="shared" si="7"/>
        <v>178.00000000000003</v>
      </c>
    </row>
    <row r="51" spans="2:19" ht="24.95" customHeight="1" thickBot="1" x14ac:dyDescent="0.3">
      <c r="B51" s="278"/>
      <c r="C51" s="3" t="s">
        <v>12</v>
      </c>
      <c r="D51" s="9">
        <f>Decade1!M44</f>
        <v>6</v>
      </c>
      <c r="E51" s="9">
        <f>Decade1!N44</f>
        <v>2</v>
      </c>
      <c r="F51" s="64">
        <f>Decade1!O44</f>
        <v>20.7</v>
      </c>
      <c r="G51" s="13">
        <f>Decade1!P44</f>
        <v>65.2</v>
      </c>
      <c r="H51" s="16">
        <f>Decade2!M38</f>
        <v>6</v>
      </c>
      <c r="I51" s="9">
        <f>Decade2!N38</f>
        <v>4</v>
      </c>
      <c r="J51" s="70">
        <f>Decade2!O38</f>
        <v>44.7</v>
      </c>
      <c r="K51" s="68">
        <f>Decade2!P38</f>
        <v>133.69999999999999</v>
      </c>
      <c r="L51" s="18">
        <f>Decade3!N39</f>
        <v>7</v>
      </c>
      <c r="M51" s="10">
        <f>Decade3!O39</f>
        <v>4</v>
      </c>
      <c r="N51" s="66">
        <f>Decade3!P39</f>
        <v>41.3</v>
      </c>
      <c r="O51" s="14">
        <f>Decade3!Q39</f>
        <v>177.79999999999995</v>
      </c>
      <c r="P51" s="29">
        <f t="shared" si="4"/>
        <v>19</v>
      </c>
      <c r="Q51" s="30">
        <f t="shared" si="5"/>
        <v>10</v>
      </c>
      <c r="R51" s="7">
        <f t="shared" si="6"/>
        <v>44.7</v>
      </c>
      <c r="S51" s="31">
        <f t="shared" si="7"/>
        <v>376.69999999999993</v>
      </c>
    </row>
    <row r="52" spans="2:19" ht="24.95" customHeight="1" thickBot="1" x14ac:dyDescent="0.3">
      <c r="B52" s="278"/>
      <c r="C52" s="3" t="s">
        <v>113</v>
      </c>
      <c r="D52" s="9">
        <f>Decade1!M45</f>
        <v>0</v>
      </c>
      <c r="E52" s="9">
        <f>Decade1!N45</f>
        <v>0</v>
      </c>
      <c r="F52" s="64">
        <f>Decade1!O45</f>
        <v>0</v>
      </c>
      <c r="G52" s="13">
        <f>Decade1!P45</f>
        <v>0</v>
      </c>
      <c r="H52" s="16">
        <f>Decade2!M39</f>
        <v>4</v>
      </c>
      <c r="I52" s="9">
        <f>Decade2!N39</f>
        <v>3</v>
      </c>
      <c r="J52" s="70">
        <f>Decade2!O39</f>
        <v>63.7</v>
      </c>
      <c r="K52" s="68">
        <f>Decade2!P39</f>
        <v>131.19999999999999</v>
      </c>
      <c r="L52" s="18">
        <f>Decade3!N40</f>
        <v>0</v>
      </c>
      <c r="M52" s="10">
        <f>Decade3!O40</f>
        <v>0</v>
      </c>
      <c r="N52" s="66">
        <f>Decade3!P40</f>
        <v>0</v>
      </c>
      <c r="O52" s="14">
        <f>Decade3!Q40</f>
        <v>0</v>
      </c>
      <c r="P52" s="29">
        <f t="shared" si="4"/>
        <v>4</v>
      </c>
      <c r="Q52" s="30">
        <f t="shared" si="5"/>
        <v>3</v>
      </c>
      <c r="R52" s="7">
        <f t="shared" si="6"/>
        <v>63.7</v>
      </c>
      <c r="S52" s="31">
        <f t="shared" si="7"/>
        <v>131.19999999999999</v>
      </c>
    </row>
    <row r="53" spans="2:19" ht="24.95" customHeight="1" thickBot="1" x14ac:dyDescent="0.3">
      <c r="B53" s="278"/>
      <c r="C53" s="3" t="s">
        <v>18</v>
      </c>
      <c r="D53" s="9">
        <f>Decade1!M46</f>
        <v>5</v>
      </c>
      <c r="E53" s="9">
        <f>Decade1!N46</f>
        <v>1</v>
      </c>
      <c r="F53" s="64">
        <f>Decade1!O46</f>
        <v>24.5</v>
      </c>
      <c r="G53" s="13">
        <f>Decade1!P46</f>
        <v>43.9</v>
      </c>
      <c r="H53" s="16">
        <f>Decade2!M41</f>
        <v>5</v>
      </c>
      <c r="I53" s="9">
        <f>Decade2!N41</f>
        <v>1</v>
      </c>
      <c r="J53" s="70">
        <f>Decade2!O41</f>
        <v>56.5</v>
      </c>
      <c r="K53" s="68">
        <f>Decade2!P41</f>
        <v>95.5</v>
      </c>
      <c r="L53" s="18">
        <f>Decade3!N41</f>
        <v>0</v>
      </c>
      <c r="M53" s="10">
        <f>Decade3!O41</f>
        <v>0</v>
      </c>
      <c r="N53" s="66">
        <f>Decade3!P41</f>
        <v>0</v>
      </c>
      <c r="O53" s="14">
        <f>Decade3!Q41</f>
        <v>0</v>
      </c>
      <c r="P53" s="29">
        <f t="shared" si="4"/>
        <v>10</v>
      </c>
      <c r="Q53" s="30">
        <f t="shared" si="5"/>
        <v>2</v>
      </c>
      <c r="R53" s="7">
        <f t="shared" si="6"/>
        <v>56.5</v>
      </c>
      <c r="S53" s="31">
        <f t="shared" si="7"/>
        <v>139.4</v>
      </c>
    </row>
    <row r="54" spans="2:19" ht="24.95" customHeight="1" thickBot="1" x14ac:dyDescent="0.3">
      <c r="B54" s="279"/>
      <c r="C54" s="3" t="s">
        <v>17</v>
      </c>
      <c r="D54" s="9">
        <f>Decade1!M47</f>
        <v>0</v>
      </c>
      <c r="E54" s="9">
        <f>Decade1!N47</f>
        <v>0</v>
      </c>
      <c r="F54" s="64">
        <f>Decade1!O47</f>
        <v>0</v>
      </c>
      <c r="G54" s="13">
        <f>Decade1!P47</f>
        <v>0</v>
      </c>
      <c r="H54" s="16">
        <f>Decade2!M42</f>
        <v>0</v>
      </c>
      <c r="I54" s="9">
        <f>Decade2!N42</f>
        <v>0</v>
      </c>
      <c r="J54" s="70">
        <f>Decade2!O42</f>
        <v>0</v>
      </c>
      <c r="K54" s="68">
        <f>Decade2!P42</f>
        <v>0</v>
      </c>
      <c r="L54" s="18">
        <f>Decade3!N42</f>
        <v>0</v>
      </c>
      <c r="M54" s="10">
        <f>Decade3!O42</f>
        <v>0</v>
      </c>
      <c r="N54" s="66">
        <f>Decade3!P42</f>
        <v>0</v>
      </c>
      <c r="O54" s="14">
        <f>Decade3!Q42</f>
        <v>0</v>
      </c>
      <c r="P54" s="29">
        <f t="shared" si="4"/>
        <v>0</v>
      </c>
      <c r="Q54" s="30">
        <f t="shared" si="5"/>
        <v>0</v>
      </c>
      <c r="R54" s="7">
        <f t="shared" si="6"/>
        <v>0</v>
      </c>
      <c r="S54" s="31">
        <f t="shared" si="7"/>
        <v>0</v>
      </c>
    </row>
    <row r="56" spans="2:19" ht="20.100000000000001" customHeight="1" x14ac:dyDescent="0.25">
      <c r="B56" s="239" t="s">
        <v>95</v>
      </c>
      <c r="C56" s="239"/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39"/>
      <c r="P56" s="239"/>
      <c r="Q56" s="239"/>
      <c r="R56" s="239"/>
      <c r="S56" s="239"/>
    </row>
    <row r="57" spans="2:19" ht="20.100000000000001" customHeight="1" x14ac:dyDescent="0.25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</row>
    <row r="58" spans="2:19" ht="24" customHeight="1" x14ac:dyDescent="0.25">
      <c r="B58" s="49" t="s">
        <v>100</v>
      </c>
      <c r="F58"/>
      <c r="J58"/>
      <c r="N58"/>
    </row>
    <row r="59" spans="2:19" ht="18" customHeight="1" x14ac:dyDescent="0.25">
      <c r="B59" s="49" t="s">
        <v>101</v>
      </c>
      <c r="F59"/>
      <c r="J59"/>
      <c r="N59"/>
    </row>
    <row r="60" spans="2:19" s="76" customFormat="1" ht="20.25" customHeight="1" thickBot="1" x14ac:dyDescent="0.3">
      <c r="B60" s="75" t="s">
        <v>102</v>
      </c>
    </row>
    <row r="61" spans="2:19" ht="20.100000000000001" customHeight="1" thickBot="1" x14ac:dyDescent="0.3">
      <c r="B61" s="283" t="s">
        <v>1</v>
      </c>
      <c r="C61" s="277" t="s">
        <v>2</v>
      </c>
      <c r="D61" s="233" t="str">
        <f>D35</f>
        <v>CUMUL PLUVIOMETRIQUE MENSUEL:  AOUT 2024</v>
      </c>
      <c r="E61" s="234"/>
      <c r="F61" s="234"/>
      <c r="G61" s="234"/>
      <c r="H61" s="234"/>
      <c r="I61" s="234"/>
      <c r="J61" s="234"/>
      <c r="K61" s="234"/>
      <c r="L61" s="234"/>
      <c r="M61" s="234"/>
      <c r="N61" s="234"/>
      <c r="O61" s="234"/>
      <c r="P61" s="234"/>
      <c r="Q61" s="234"/>
      <c r="R61" s="234"/>
      <c r="S61" s="235"/>
    </row>
    <row r="62" spans="2:19" ht="15" customHeight="1" thickBot="1" x14ac:dyDescent="0.3">
      <c r="B62" s="284"/>
      <c r="C62" s="278"/>
      <c r="D62" s="285" t="s">
        <v>86</v>
      </c>
      <c r="E62" s="286"/>
      <c r="F62" s="286"/>
      <c r="G62" s="287"/>
      <c r="H62" s="288" t="s">
        <v>87</v>
      </c>
      <c r="I62" s="286"/>
      <c r="J62" s="286"/>
      <c r="K62" s="287"/>
      <c r="L62" s="288" t="s">
        <v>88</v>
      </c>
      <c r="M62" s="286"/>
      <c r="N62" s="286"/>
      <c r="O62" s="287"/>
      <c r="P62" s="280" t="s">
        <v>0</v>
      </c>
      <c r="Q62" s="280"/>
      <c r="R62" s="280"/>
      <c r="S62" s="281"/>
    </row>
    <row r="63" spans="2:19" ht="23.25" customHeight="1" thickBot="1" x14ac:dyDescent="0.3">
      <c r="B63" s="284"/>
      <c r="C63" s="279"/>
      <c r="D63" s="8" t="s">
        <v>89</v>
      </c>
      <c r="E63" s="8" t="s">
        <v>90</v>
      </c>
      <c r="F63" s="63" t="s">
        <v>106</v>
      </c>
      <c r="G63" s="12" t="s">
        <v>92</v>
      </c>
      <c r="H63" s="15" t="s">
        <v>89</v>
      </c>
      <c r="I63" s="8" t="s">
        <v>91</v>
      </c>
      <c r="J63" s="63" t="s">
        <v>106</v>
      </c>
      <c r="K63" s="12" t="s">
        <v>92</v>
      </c>
      <c r="L63" s="15" t="s">
        <v>89</v>
      </c>
      <c r="M63" s="8" t="s">
        <v>91</v>
      </c>
      <c r="N63" s="63" t="s">
        <v>106</v>
      </c>
      <c r="O63" s="12" t="s">
        <v>92</v>
      </c>
      <c r="P63" s="11" t="s">
        <v>89</v>
      </c>
      <c r="Q63" s="8" t="s">
        <v>91</v>
      </c>
      <c r="R63" s="8" t="s">
        <v>106</v>
      </c>
      <c r="S63" s="8" t="s">
        <v>92</v>
      </c>
    </row>
    <row r="64" spans="2:19" ht="24.95" customHeight="1" thickBot="1" x14ac:dyDescent="0.3">
      <c r="B64" s="277" t="s">
        <v>78</v>
      </c>
      <c r="C64" s="35" t="s">
        <v>23</v>
      </c>
      <c r="D64" s="42">
        <f>Decade1!M55</f>
        <v>0</v>
      </c>
      <c r="E64" s="34">
        <f>Decade1!N55</f>
        <v>0</v>
      </c>
      <c r="F64" s="64">
        <f>Decade1!O55</f>
        <v>0</v>
      </c>
      <c r="G64" s="44">
        <f>Decade1!P55</f>
        <v>0</v>
      </c>
      <c r="H64" s="45">
        <f>Decade2!M48</f>
        <v>0</v>
      </c>
      <c r="I64" s="43">
        <f>Decade2!N48</f>
        <v>0</v>
      </c>
      <c r="J64" s="69">
        <f>Decade2!O48</f>
        <v>0</v>
      </c>
      <c r="K64" s="72">
        <f>Decade2!P48</f>
        <v>0</v>
      </c>
      <c r="L64" s="46">
        <f>Decade3!N48</f>
        <v>0</v>
      </c>
      <c r="M64" s="47">
        <f>Decade3!O48</f>
        <v>0</v>
      </c>
      <c r="N64" s="66">
        <f>Decade3!P48</f>
        <v>0</v>
      </c>
      <c r="O64" s="44">
        <f>Decade3!Q48</f>
        <v>0</v>
      </c>
      <c r="P64" s="17">
        <f>SUM(D64,H64,L64)</f>
        <v>0</v>
      </c>
      <c r="Q64" s="5">
        <f>SUM(E64,I64,M64)</f>
        <v>0</v>
      </c>
      <c r="R64" s="7">
        <f>MAX(F64,J64,N64)</f>
        <v>0</v>
      </c>
      <c r="S64" s="7">
        <f>SUM(G64,K64,O64)</f>
        <v>0</v>
      </c>
    </row>
    <row r="65" spans="2:23" ht="24.95" customHeight="1" thickBot="1" x14ac:dyDescent="0.3">
      <c r="B65" s="278"/>
      <c r="C65" s="3" t="s">
        <v>25</v>
      </c>
      <c r="D65" s="42">
        <f>Decade1!M56</f>
        <v>4</v>
      </c>
      <c r="E65" s="34">
        <f>Decade1!N56</f>
        <v>3</v>
      </c>
      <c r="F65" s="64">
        <f>Decade1!O56</f>
        <v>49.8</v>
      </c>
      <c r="G65" s="44">
        <f>Decade1!P56</f>
        <v>119</v>
      </c>
      <c r="H65" s="45">
        <f>Decade2!M49</f>
        <v>5</v>
      </c>
      <c r="I65" s="43">
        <f>Decade2!N49</f>
        <v>0</v>
      </c>
      <c r="J65" s="69">
        <f>Decade2!O49</f>
        <v>19.899999999999999</v>
      </c>
      <c r="K65" s="72">
        <f>Decade2!P49</f>
        <v>63.1</v>
      </c>
      <c r="L65" s="46">
        <f>Decade3!N49</f>
        <v>0</v>
      </c>
      <c r="M65" s="47">
        <f>Decade3!O49</f>
        <v>0</v>
      </c>
      <c r="N65" s="66">
        <f>Decade3!P49</f>
        <v>0</v>
      </c>
      <c r="O65" s="44">
        <f>Decade3!Q49</f>
        <v>0</v>
      </c>
      <c r="P65" s="17">
        <f t="shared" ref="P65:P81" si="8">SUM(D65,H65,L65)</f>
        <v>9</v>
      </c>
      <c r="Q65" s="5">
        <f t="shared" ref="Q65:Q81" si="9">SUM(E65,I65,M65)</f>
        <v>3</v>
      </c>
      <c r="R65" s="7">
        <f t="shared" ref="R65:R81" si="10">MAX(F65,J65,N65)</f>
        <v>49.8</v>
      </c>
      <c r="S65" s="7">
        <f t="shared" ref="S65:S81" si="11">SUM(G65,K65,O65)</f>
        <v>182.1</v>
      </c>
    </row>
    <row r="66" spans="2:23" ht="24.95" customHeight="1" thickBot="1" x14ac:dyDescent="0.3">
      <c r="B66" s="278"/>
      <c r="C66" s="35" t="s">
        <v>124</v>
      </c>
      <c r="D66" s="42">
        <f>Decade1!M57</f>
        <v>2</v>
      </c>
      <c r="E66" s="34">
        <f>Decade1!N57</f>
        <v>1</v>
      </c>
      <c r="F66" s="64">
        <f>Decade1!O57</f>
        <v>39</v>
      </c>
      <c r="G66" s="44">
        <f>Decade1!P57</f>
        <v>43.1</v>
      </c>
      <c r="H66" s="45">
        <f>Decade2!M50</f>
        <v>5</v>
      </c>
      <c r="I66" s="43">
        <f>Decade2!N50</f>
        <v>0</v>
      </c>
      <c r="J66" s="69">
        <f>Decade2!O50</f>
        <v>18.899999999999999</v>
      </c>
      <c r="K66" s="72">
        <f>Decade2!P50</f>
        <v>67.899999999999991</v>
      </c>
      <c r="L66" s="46">
        <f>Decade3!N50</f>
        <v>0</v>
      </c>
      <c r="M66" s="47">
        <f>Decade3!O50</f>
        <v>0</v>
      </c>
      <c r="N66" s="66">
        <f>Decade3!P50</f>
        <v>0</v>
      </c>
      <c r="O66" s="44">
        <f>Decade3!Q50</f>
        <v>0</v>
      </c>
      <c r="P66" s="17">
        <f t="shared" si="8"/>
        <v>7</v>
      </c>
      <c r="Q66" s="5">
        <f t="shared" si="9"/>
        <v>1</v>
      </c>
      <c r="R66" s="7">
        <f t="shared" si="10"/>
        <v>39</v>
      </c>
      <c r="S66" s="7">
        <f t="shared" si="11"/>
        <v>111</v>
      </c>
    </row>
    <row r="67" spans="2:23" ht="24.95" customHeight="1" thickBot="1" x14ac:dyDescent="0.3">
      <c r="B67" s="278"/>
      <c r="C67" s="35" t="s">
        <v>125</v>
      </c>
      <c r="D67" s="42">
        <f>Decade1!M58</f>
        <v>5</v>
      </c>
      <c r="E67" s="34">
        <f>Decade1!N58</f>
        <v>1</v>
      </c>
      <c r="F67" s="64">
        <f>Decade1!O58</f>
        <v>28.7</v>
      </c>
      <c r="G67" s="44">
        <f>Decade1!P58</f>
        <v>77.2</v>
      </c>
      <c r="H67" s="45">
        <f>Decade2!M51</f>
        <v>4</v>
      </c>
      <c r="I67" s="43">
        <f>Decade2!N51</f>
        <v>1</v>
      </c>
      <c r="J67" s="69">
        <f>Decade2!O51</f>
        <v>34.200000000000003</v>
      </c>
      <c r="K67" s="72">
        <f>Decade2!P51</f>
        <v>58.500000000000007</v>
      </c>
      <c r="L67" s="46">
        <f>Decade3!N51</f>
        <v>0</v>
      </c>
      <c r="M67" s="47">
        <f>Decade3!O51</f>
        <v>0</v>
      </c>
      <c r="N67" s="66">
        <f>Decade3!P51</f>
        <v>0</v>
      </c>
      <c r="O67" s="44">
        <f>Decade3!Q51</f>
        <v>0</v>
      </c>
      <c r="P67" s="17">
        <f t="shared" si="8"/>
        <v>9</v>
      </c>
      <c r="Q67" s="5">
        <f t="shared" si="9"/>
        <v>2</v>
      </c>
      <c r="R67" s="7">
        <f t="shared" si="10"/>
        <v>34.200000000000003</v>
      </c>
      <c r="S67" s="7">
        <f t="shared" si="11"/>
        <v>135.70000000000002</v>
      </c>
    </row>
    <row r="68" spans="2:23" ht="24.95" customHeight="1" thickBot="1" x14ac:dyDescent="0.3">
      <c r="B68" s="278"/>
      <c r="C68" s="3" t="s">
        <v>35</v>
      </c>
      <c r="D68" s="42">
        <f>Decade1!M59</f>
        <v>1</v>
      </c>
      <c r="E68" s="34">
        <f>Decade1!N59</f>
        <v>1</v>
      </c>
      <c r="F68" s="64">
        <f>Decade1!O59</f>
        <v>62.3</v>
      </c>
      <c r="G68" s="44">
        <f>Decade1!P59</f>
        <v>62.3</v>
      </c>
      <c r="H68" s="45">
        <f>Decade2!M52</f>
        <v>0</v>
      </c>
      <c r="I68" s="43">
        <f>Decade2!N52</f>
        <v>0</v>
      </c>
      <c r="J68" s="69">
        <f>Decade2!O52</f>
        <v>0</v>
      </c>
      <c r="K68" s="72">
        <f>Decade2!P52</f>
        <v>0</v>
      </c>
      <c r="L68" s="46">
        <f>Decade3!N52</f>
        <v>0</v>
      </c>
      <c r="M68" s="47">
        <f>Decade3!O52</f>
        <v>0</v>
      </c>
      <c r="N68" s="66">
        <f>Decade3!P52</f>
        <v>0</v>
      </c>
      <c r="O68" s="44">
        <f>Decade3!Q52</f>
        <v>0</v>
      </c>
      <c r="P68" s="17">
        <f t="shared" si="8"/>
        <v>1</v>
      </c>
      <c r="Q68" s="5">
        <f t="shared" si="9"/>
        <v>1</v>
      </c>
      <c r="R68" s="7">
        <f t="shared" si="10"/>
        <v>62.3</v>
      </c>
      <c r="S68" s="7">
        <f t="shared" si="11"/>
        <v>62.3</v>
      </c>
    </row>
    <row r="69" spans="2:23" ht="24.95" customHeight="1" thickBot="1" x14ac:dyDescent="0.3">
      <c r="B69" s="278"/>
      <c r="C69" s="3" t="s">
        <v>32</v>
      </c>
      <c r="D69" s="42">
        <f>Decade1!M60</f>
        <v>4</v>
      </c>
      <c r="E69" s="34">
        <f>Decade1!N60</f>
        <v>2</v>
      </c>
      <c r="F69" s="64">
        <f>Decade1!O60</f>
        <v>43.8</v>
      </c>
      <c r="G69" s="44">
        <f>Decade1!P60</f>
        <v>90.1</v>
      </c>
      <c r="H69" s="45">
        <f>Decade2!M53</f>
        <v>6</v>
      </c>
      <c r="I69" s="43">
        <f>Decade2!N53</f>
        <v>2</v>
      </c>
      <c r="J69" s="69">
        <f>Decade2!O53</f>
        <v>34.9</v>
      </c>
      <c r="K69" s="72">
        <f>Decade2!P53</f>
        <v>101.10000000000001</v>
      </c>
      <c r="L69" s="46">
        <f>Decade3!N53</f>
        <v>3</v>
      </c>
      <c r="M69" s="47">
        <f>Decade3!O53</f>
        <v>0</v>
      </c>
      <c r="N69" s="66">
        <f>Decade3!P53</f>
        <v>19.399999999999999</v>
      </c>
      <c r="O69" s="44">
        <f>Decade3!Q53</f>
        <v>28.599999999999998</v>
      </c>
      <c r="P69" s="17">
        <f t="shared" si="8"/>
        <v>13</v>
      </c>
      <c r="Q69" s="5">
        <f t="shared" si="9"/>
        <v>4</v>
      </c>
      <c r="R69" s="7">
        <f t="shared" si="10"/>
        <v>43.8</v>
      </c>
      <c r="S69" s="7">
        <f t="shared" si="11"/>
        <v>219.79999999999998</v>
      </c>
    </row>
    <row r="70" spans="2:23" ht="24.95" customHeight="1" thickBot="1" x14ac:dyDescent="0.3">
      <c r="B70" s="278"/>
      <c r="C70" s="3" t="s">
        <v>27</v>
      </c>
      <c r="D70" s="42">
        <f>Decade1!M61</f>
        <v>1</v>
      </c>
      <c r="E70" s="34">
        <f>Decade1!N61</f>
        <v>1</v>
      </c>
      <c r="F70" s="64">
        <f>Decade1!O61</f>
        <v>48.11</v>
      </c>
      <c r="G70" s="44">
        <f>Decade1!P61</f>
        <v>48.11</v>
      </c>
      <c r="H70" s="45">
        <f>Decade2!M54</f>
        <v>3</v>
      </c>
      <c r="I70" s="43">
        <f>Decade2!N54</f>
        <v>2</v>
      </c>
      <c r="J70" s="69">
        <f>Decade2!O54</f>
        <v>29.4</v>
      </c>
      <c r="K70" s="72">
        <f>Decade2!P54</f>
        <v>54.099999999999994</v>
      </c>
      <c r="L70" s="46">
        <f>Decade3!N54</f>
        <v>4</v>
      </c>
      <c r="M70" s="47">
        <f>Decade3!O54</f>
        <v>1</v>
      </c>
      <c r="N70" s="66">
        <f>Decade3!P54</f>
        <v>23.4</v>
      </c>
      <c r="O70" s="44">
        <f>Decade3!Q54</f>
        <v>59.9</v>
      </c>
      <c r="P70" s="17">
        <f t="shared" si="8"/>
        <v>8</v>
      </c>
      <c r="Q70" s="5">
        <f t="shared" si="9"/>
        <v>4</v>
      </c>
      <c r="R70" s="7">
        <f t="shared" si="10"/>
        <v>48.11</v>
      </c>
      <c r="S70" s="7">
        <f t="shared" si="11"/>
        <v>162.10999999999999</v>
      </c>
    </row>
    <row r="71" spans="2:23" ht="24.95" customHeight="1" thickBot="1" x14ac:dyDescent="0.3">
      <c r="B71" s="278"/>
      <c r="C71" s="3" t="s">
        <v>28</v>
      </c>
      <c r="D71" s="42">
        <f>Decade1!M62</f>
        <v>0</v>
      </c>
      <c r="E71" s="34">
        <f>Decade1!N62</f>
        <v>0</v>
      </c>
      <c r="F71" s="64">
        <f>Decade1!O62</f>
        <v>0</v>
      </c>
      <c r="G71" s="44">
        <f>Decade1!P62</f>
        <v>0</v>
      </c>
      <c r="H71" s="45">
        <f>Decade2!M55</f>
        <v>0</v>
      </c>
      <c r="I71" s="43">
        <f>Decade2!N55</f>
        <v>0</v>
      </c>
      <c r="J71" s="69">
        <f>Decade2!O55</f>
        <v>0</v>
      </c>
      <c r="K71" s="72">
        <f>Decade2!P55</f>
        <v>0</v>
      </c>
      <c r="L71" s="46">
        <f>Decade3!N55</f>
        <v>0</v>
      </c>
      <c r="M71" s="47">
        <f>Decade3!O55</f>
        <v>0</v>
      </c>
      <c r="N71" s="66">
        <f>Decade3!P55</f>
        <v>0</v>
      </c>
      <c r="O71" s="44">
        <f>Decade3!Q55</f>
        <v>0</v>
      </c>
      <c r="P71" s="17">
        <f t="shared" si="8"/>
        <v>0</v>
      </c>
      <c r="Q71" s="5">
        <f t="shared" si="9"/>
        <v>0</v>
      </c>
      <c r="R71" s="7">
        <f t="shared" si="10"/>
        <v>0</v>
      </c>
      <c r="S71" s="7">
        <f t="shared" si="11"/>
        <v>0</v>
      </c>
    </row>
    <row r="72" spans="2:23" ht="24.95" customHeight="1" thickBot="1" x14ac:dyDescent="0.3">
      <c r="B72" s="278"/>
      <c r="C72" s="3" t="s">
        <v>34</v>
      </c>
      <c r="D72" s="42">
        <f>Decade1!M63</f>
        <v>4</v>
      </c>
      <c r="E72" s="34">
        <f>Decade1!N63</f>
        <v>2</v>
      </c>
      <c r="F72" s="64">
        <f>Decade1!O63</f>
        <v>58.3</v>
      </c>
      <c r="G72" s="44">
        <f>Decade1!P63</f>
        <v>119.2</v>
      </c>
      <c r="H72" s="45">
        <f>Decade2!M57</f>
        <v>5</v>
      </c>
      <c r="I72" s="43">
        <f>Decade2!N57</f>
        <v>1</v>
      </c>
      <c r="J72" s="69">
        <f>Decade2!O57</f>
        <v>27.6</v>
      </c>
      <c r="K72" s="72">
        <f>Decade2!P57</f>
        <v>68.099999999999994</v>
      </c>
      <c r="L72" s="46">
        <f>Decade3!N56</f>
        <v>4</v>
      </c>
      <c r="M72" s="47">
        <f>Decade3!O56</f>
        <v>0</v>
      </c>
      <c r="N72" s="66">
        <f>Decade3!P56</f>
        <v>18.5</v>
      </c>
      <c r="O72" s="44">
        <f>Decade3!Q56</f>
        <v>37.5</v>
      </c>
      <c r="P72" s="17">
        <f t="shared" si="8"/>
        <v>13</v>
      </c>
      <c r="Q72" s="5">
        <f t="shared" si="9"/>
        <v>3</v>
      </c>
      <c r="R72" s="7">
        <f t="shared" si="10"/>
        <v>58.3</v>
      </c>
      <c r="S72" s="7">
        <f t="shared" si="11"/>
        <v>224.8</v>
      </c>
    </row>
    <row r="73" spans="2:23" ht="24.95" customHeight="1" thickBot="1" x14ac:dyDescent="0.3">
      <c r="B73" s="278"/>
      <c r="C73" s="28" t="s">
        <v>83</v>
      </c>
      <c r="D73" s="42">
        <f>Decade1!M64</f>
        <v>0</v>
      </c>
      <c r="E73" s="34">
        <f>Decade1!N64</f>
        <v>0</v>
      </c>
      <c r="F73" s="64">
        <f>Decade1!O64</f>
        <v>0</v>
      </c>
      <c r="G73" s="44">
        <f>Decade1!P64</f>
        <v>0</v>
      </c>
      <c r="H73" s="45">
        <f>Decade2!M58</f>
        <v>0</v>
      </c>
      <c r="I73" s="43">
        <f>Decade2!N58</f>
        <v>0</v>
      </c>
      <c r="J73" s="69">
        <f>Decade2!O58</f>
        <v>0</v>
      </c>
      <c r="K73" s="72">
        <f>Decade2!P58</f>
        <v>0</v>
      </c>
      <c r="L73" s="46">
        <f>Decade3!N57</f>
        <v>1</v>
      </c>
      <c r="M73" s="47">
        <f>Decade3!O57</f>
        <v>1</v>
      </c>
      <c r="N73" s="66">
        <f>Decade3!P57</f>
        <v>22.2</v>
      </c>
      <c r="O73" s="44">
        <f>Decade3!Q57</f>
        <v>22.2</v>
      </c>
      <c r="P73" s="17">
        <f t="shared" si="8"/>
        <v>1</v>
      </c>
      <c r="Q73" s="5">
        <f t="shared" si="9"/>
        <v>1</v>
      </c>
      <c r="R73" s="7">
        <f t="shared" si="10"/>
        <v>22.2</v>
      </c>
      <c r="S73" s="7">
        <f t="shared" si="11"/>
        <v>22.2</v>
      </c>
    </row>
    <row r="74" spans="2:23" ht="24.95" customHeight="1" thickBot="1" x14ac:dyDescent="0.3">
      <c r="B74" s="278"/>
      <c r="C74" s="3" t="s">
        <v>26</v>
      </c>
      <c r="D74" s="42">
        <f>Decade1!M65</f>
        <v>3</v>
      </c>
      <c r="E74" s="34">
        <f>Decade1!N65</f>
        <v>1</v>
      </c>
      <c r="F74" s="64">
        <f>Decade1!O65</f>
        <v>23.5</v>
      </c>
      <c r="G74" s="44">
        <f>Decade1!P65</f>
        <v>44.8</v>
      </c>
      <c r="H74" s="45">
        <f>Decade2!M60</f>
        <v>5</v>
      </c>
      <c r="I74" s="43">
        <f>Decade2!N60</f>
        <v>3</v>
      </c>
      <c r="J74" s="69">
        <f>Decade2!O60</f>
        <v>37.299999999999997</v>
      </c>
      <c r="K74" s="72">
        <f>Decade2!P60</f>
        <v>120.8</v>
      </c>
      <c r="L74" s="46">
        <f>Decade3!N58</f>
        <v>0</v>
      </c>
      <c r="M74" s="47">
        <f>Decade3!O58</f>
        <v>0</v>
      </c>
      <c r="N74" s="66">
        <f>Decade3!P58</f>
        <v>0</v>
      </c>
      <c r="O74" s="44">
        <f>Decade3!Q58</f>
        <v>0</v>
      </c>
      <c r="P74" s="17">
        <f t="shared" si="8"/>
        <v>8</v>
      </c>
      <c r="Q74" s="5">
        <f t="shared" si="9"/>
        <v>4</v>
      </c>
      <c r="R74" s="7">
        <f t="shared" si="10"/>
        <v>37.299999999999997</v>
      </c>
      <c r="S74" s="7">
        <f t="shared" si="11"/>
        <v>165.6</v>
      </c>
    </row>
    <row r="75" spans="2:23" ht="24.95" customHeight="1" thickBot="1" x14ac:dyDescent="0.3">
      <c r="B75" s="278"/>
      <c r="C75" s="124" t="s">
        <v>36</v>
      </c>
      <c r="D75" s="42">
        <f>Decade1!M66</f>
        <v>3</v>
      </c>
      <c r="E75" s="34">
        <f>Decade1!N66</f>
        <v>0</v>
      </c>
      <c r="F75" s="64">
        <f>Decade1!O66</f>
        <v>15.3</v>
      </c>
      <c r="G75" s="44">
        <f>Decade1!P66</f>
        <v>29.2</v>
      </c>
      <c r="H75" s="45">
        <f>Decade2!M61</f>
        <v>3</v>
      </c>
      <c r="I75" s="43">
        <f>Decade2!N61</f>
        <v>2</v>
      </c>
      <c r="J75" s="69">
        <f>Decade2!O61</f>
        <v>24.2</v>
      </c>
      <c r="K75" s="72">
        <f>Decade2!P61</f>
        <v>51.900000000000006</v>
      </c>
      <c r="L75" s="46">
        <f>Decade3!N59</f>
        <v>0</v>
      </c>
      <c r="M75" s="47">
        <f>Decade3!O59</f>
        <v>0</v>
      </c>
      <c r="N75" s="66">
        <f>Decade3!P59</f>
        <v>0</v>
      </c>
      <c r="O75" s="44">
        <f>Decade3!Q59</f>
        <v>0</v>
      </c>
      <c r="P75" s="17">
        <f t="shared" si="8"/>
        <v>6</v>
      </c>
      <c r="Q75" s="5">
        <f t="shared" si="9"/>
        <v>2</v>
      </c>
      <c r="R75" s="7">
        <f t="shared" si="10"/>
        <v>24.2</v>
      </c>
      <c r="S75" s="7">
        <f t="shared" si="11"/>
        <v>81.100000000000009</v>
      </c>
    </row>
    <row r="76" spans="2:23" ht="24.95" customHeight="1" thickBot="1" x14ac:dyDescent="0.3">
      <c r="B76" s="278"/>
      <c r="C76" s="125" t="s">
        <v>30</v>
      </c>
      <c r="D76" s="42">
        <f>Decade1!M67</f>
        <v>3</v>
      </c>
      <c r="E76" s="34">
        <f>Decade1!N67</f>
        <v>0</v>
      </c>
      <c r="F76" s="64">
        <f>Decade1!O67</f>
        <v>13.6</v>
      </c>
      <c r="G76" s="44">
        <f>Decade1!P67</f>
        <v>18.2</v>
      </c>
      <c r="H76" s="45">
        <f>Decade2!M62</f>
        <v>4</v>
      </c>
      <c r="I76" s="43">
        <f>Decade2!N62</f>
        <v>3</v>
      </c>
      <c r="J76" s="69">
        <f>Decade2!O62</f>
        <v>59.6</v>
      </c>
      <c r="K76" s="72">
        <f>Decade2!P62</f>
        <v>135.1</v>
      </c>
      <c r="L76" s="46">
        <f>Decade3!N60</f>
        <v>0</v>
      </c>
      <c r="M76" s="47">
        <f>Decade3!O60</f>
        <v>0</v>
      </c>
      <c r="N76" s="66">
        <f>Decade3!P60</f>
        <v>0</v>
      </c>
      <c r="O76" s="44">
        <f>Decade3!Q60</f>
        <v>0</v>
      </c>
      <c r="P76" s="17">
        <f t="shared" si="8"/>
        <v>7</v>
      </c>
      <c r="Q76" s="5">
        <f t="shared" si="9"/>
        <v>3</v>
      </c>
      <c r="R76" s="7">
        <f t="shared" si="10"/>
        <v>59.6</v>
      </c>
      <c r="S76" s="7">
        <f t="shared" si="11"/>
        <v>153.29999999999998</v>
      </c>
    </row>
    <row r="77" spans="2:23" ht="24.95" customHeight="1" thickBot="1" x14ac:dyDescent="0.3">
      <c r="B77" s="278"/>
      <c r="C77" s="2" t="s">
        <v>31</v>
      </c>
      <c r="D77" s="42">
        <f>Decade1!M68</f>
        <v>5</v>
      </c>
      <c r="E77" s="34">
        <f>Decade1!N68</f>
        <v>0</v>
      </c>
      <c r="F77" s="64">
        <f>Decade1!O68</f>
        <v>18</v>
      </c>
      <c r="G77" s="44">
        <f>Decade1!P68</f>
        <v>47.1</v>
      </c>
      <c r="H77" s="45">
        <f>Decade2!M63</f>
        <v>3</v>
      </c>
      <c r="I77" s="43">
        <f>Decade2!N63</f>
        <v>2</v>
      </c>
      <c r="J77" s="69">
        <f>Decade2!O63</f>
        <v>63.5</v>
      </c>
      <c r="K77" s="72">
        <f>Decade2!P63</f>
        <v>136.5</v>
      </c>
      <c r="L77" s="46">
        <f>Decade3!N61</f>
        <v>0</v>
      </c>
      <c r="M77" s="47">
        <f>Decade3!O61</f>
        <v>0</v>
      </c>
      <c r="N77" s="66">
        <f>Decade3!P61</f>
        <v>0</v>
      </c>
      <c r="O77" s="44">
        <f>Decade3!Q61</f>
        <v>0</v>
      </c>
      <c r="P77" s="17">
        <f t="shared" si="8"/>
        <v>8</v>
      </c>
      <c r="Q77" s="5">
        <f t="shared" si="9"/>
        <v>2</v>
      </c>
      <c r="R77" s="7">
        <f t="shared" si="10"/>
        <v>63.5</v>
      </c>
      <c r="S77" s="7">
        <f t="shared" si="11"/>
        <v>183.6</v>
      </c>
    </row>
    <row r="78" spans="2:23" ht="24.95" customHeight="1" thickBot="1" x14ac:dyDescent="0.3">
      <c r="B78" s="278"/>
      <c r="C78" s="4" t="s">
        <v>29</v>
      </c>
      <c r="D78" s="42">
        <f>Decade1!M69</f>
        <v>4</v>
      </c>
      <c r="E78" s="34">
        <f>Decade1!N69</f>
        <v>0</v>
      </c>
      <c r="F78" s="64">
        <f>Decade1!O69</f>
        <v>16.2</v>
      </c>
      <c r="G78" s="44">
        <f>Decade1!P69</f>
        <v>46.099999999999994</v>
      </c>
      <c r="H78" s="45">
        <f>Decade2!M64</f>
        <v>4</v>
      </c>
      <c r="I78" s="43">
        <f>Decade2!N64</f>
        <v>2</v>
      </c>
      <c r="J78" s="69">
        <f>Decade2!O64</f>
        <v>73.2</v>
      </c>
      <c r="K78" s="72">
        <f>Decade2!P64</f>
        <v>123.6</v>
      </c>
      <c r="L78" s="46">
        <f>Decade3!N62</f>
        <v>0</v>
      </c>
      <c r="M78" s="47">
        <f>Decade3!O62</f>
        <v>0</v>
      </c>
      <c r="N78" s="66">
        <f>Decade3!P62</f>
        <v>0</v>
      </c>
      <c r="O78" s="44">
        <f>Decade3!Q62</f>
        <v>0</v>
      </c>
      <c r="P78" s="17">
        <f t="shared" si="8"/>
        <v>8</v>
      </c>
      <c r="Q78" s="5">
        <f t="shared" si="9"/>
        <v>2</v>
      </c>
      <c r="R78" s="7">
        <f t="shared" si="10"/>
        <v>73.2</v>
      </c>
      <c r="S78" s="7">
        <f t="shared" si="11"/>
        <v>169.7</v>
      </c>
    </row>
    <row r="79" spans="2:23" ht="24.95" customHeight="1" thickBot="1" x14ac:dyDescent="0.3">
      <c r="B79" s="278"/>
      <c r="C79" s="35" t="s">
        <v>24</v>
      </c>
      <c r="D79" s="42">
        <f>Decade1!M70</f>
        <v>2</v>
      </c>
      <c r="E79" s="34">
        <f>Decade1!N70</f>
        <v>1</v>
      </c>
      <c r="F79" s="64">
        <f>Decade1!O70</f>
        <v>38.4</v>
      </c>
      <c r="G79" s="44">
        <f>Decade1!P70</f>
        <v>46.4</v>
      </c>
      <c r="H79" s="45">
        <f>Decade2!M65</f>
        <v>0</v>
      </c>
      <c r="I79" s="43">
        <f>Decade2!N65</f>
        <v>0</v>
      </c>
      <c r="J79" s="69">
        <f>Decade2!O65</f>
        <v>0</v>
      </c>
      <c r="K79" s="72">
        <f>Decade2!P65</f>
        <v>0</v>
      </c>
      <c r="L79" s="46">
        <f>Decade3!N63</f>
        <v>0</v>
      </c>
      <c r="M79" s="47">
        <f>Decade3!O63</f>
        <v>0</v>
      </c>
      <c r="N79" s="66">
        <f>Decade3!P63</f>
        <v>0</v>
      </c>
      <c r="O79" s="44">
        <f>Decade3!Q63</f>
        <v>0</v>
      </c>
      <c r="P79" s="17">
        <f t="shared" si="8"/>
        <v>2</v>
      </c>
      <c r="Q79" s="5">
        <f t="shared" si="9"/>
        <v>1</v>
      </c>
      <c r="R79" s="7">
        <f t="shared" si="10"/>
        <v>38.4</v>
      </c>
      <c r="S79" s="7">
        <f t="shared" si="11"/>
        <v>46.4</v>
      </c>
    </row>
    <row r="80" spans="2:23" ht="24.95" customHeight="1" thickBot="1" x14ac:dyDescent="0.3">
      <c r="B80" s="278"/>
      <c r="C80" s="3" t="s">
        <v>33</v>
      </c>
      <c r="D80" s="42">
        <f>Decade1!M71</f>
        <v>5</v>
      </c>
      <c r="E80" s="34">
        <f>Decade1!N71</f>
        <v>1</v>
      </c>
      <c r="F80" s="64">
        <f>Decade1!O71</f>
        <v>34.299999999999997</v>
      </c>
      <c r="G80" s="44">
        <f>Decade1!P71</f>
        <v>39.299999999999997</v>
      </c>
      <c r="H80" s="45">
        <f>Decade2!M66</f>
        <v>5</v>
      </c>
      <c r="I80" s="43">
        <f>Decade2!N66</f>
        <v>3</v>
      </c>
      <c r="J80" s="69">
        <f>Decade2!O66</f>
        <v>32.200000000000003</v>
      </c>
      <c r="K80" s="72">
        <f>Decade2!P66</f>
        <v>86.7</v>
      </c>
      <c r="L80" s="46">
        <f>Decade3!N64</f>
        <v>0</v>
      </c>
      <c r="M80" s="47">
        <f>Decade3!O64</f>
        <v>0</v>
      </c>
      <c r="N80" s="66">
        <f>Decade3!P64</f>
        <v>0</v>
      </c>
      <c r="O80" s="44">
        <f>Decade3!Q64</f>
        <v>0</v>
      </c>
      <c r="P80" s="17">
        <f t="shared" si="8"/>
        <v>10</v>
      </c>
      <c r="Q80" s="5">
        <f t="shared" si="9"/>
        <v>4</v>
      </c>
      <c r="R80" s="7">
        <f t="shared" si="10"/>
        <v>34.299999999999997</v>
      </c>
      <c r="S80" s="7">
        <f t="shared" si="11"/>
        <v>126</v>
      </c>
      <c r="W80" t="s">
        <v>109</v>
      </c>
    </row>
    <row r="81" spans="2:19" ht="24.95" customHeight="1" thickBot="1" x14ac:dyDescent="0.3">
      <c r="B81" s="278"/>
      <c r="C81" s="48" t="s">
        <v>37</v>
      </c>
      <c r="D81" s="42">
        <f>Decade1!M72</f>
        <v>2</v>
      </c>
      <c r="E81" s="34">
        <f>Decade1!N72</f>
        <v>1</v>
      </c>
      <c r="F81" s="64">
        <f>Decade1!O72</f>
        <v>44.1</v>
      </c>
      <c r="G81" s="44">
        <f>Decade1!P72</f>
        <v>50.4</v>
      </c>
      <c r="H81" s="45">
        <f>Decade2!M68</f>
        <v>3</v>
      </c>
      <c r="I81" s="43">
        <f>Decade2!N68</f>
        <v>2</v>
      </c>
      <c r="J81" s="69">
        <f>Decade2!O68</f>
        <v>43.3</v>
      </c>
      <c r="K81" s="72">
        <f>Decade2!P68</f>
        <v>82.6</v>
      </c>
      <c r="L81" s="46">
        <f>Decade3!N65</f>
        <v>0</v>
      </c>
      <c r="M81" s="47">
        <f>Decade3!O65</f>
        <v>0</v>
      </c>
      <c r="N81" s="66">
        <f>Decade3!P65</f>
        <v>0</v>
      </c>
      <c r="O81" s="44">
        <f>Decade3!Q65</f>
        <v>0</v>
      </c>
      <c r="P81" s="17">
        <f t="shared" si="8"/>
        <v>5</v>
      </c>
      <c r="Q81" s="5">
        <f t="shared" si="9"/>
        <v>3</v>
      </c>
      <c r="R81" s="7">
        <f t="shared" si="10"/>
        <v>44.1</v>
      </c>
      <c r="S81" s="7">
        <f t="shared" si="11"/>
        <v>133</v>
      </c>
    </row>
    <row r="82" spans="2:19" ht="24.95" customHeight="1" thickBot="1" x14ac:dyDescent="0.3">
      <c r="B82" s="278"/>
      <c r="C82" s="122" t="s">
        <v>148</v>
      </c>
      <c r="D82" s="42">
        <f>Decade1!M73</f>
        <v>5</v>
      </c>
      <c r="E82" s="34">
        <f>Decade1!N73</f>
        <v>0</v>
      </c>
      <c r="F82" s="64">
        <f>Decade1!O73</f>
        <v>10.3</v>
      </c>
      <c r="G82" s="44">
        <f>Decade1!P73</f>
        <v>30.900000000000002</v>
      </c>
      <c r="H82" s="45">
        <f>Decade2!M69</f>
        <v>0</v>
      </c>
      <c r="I82" s="43">
        <f>Decade2!N69</f>
        <v>0</v>
      </c>
      <c r="J82" s="69">
        <f>Decade2!O69</f>
        <v>0</v>
      </c>
      <c r="K82" s="72">
        <f>Decade2!P69</f>
        <v>0</v>
      </c>
      <c r="L82" s="46">
        <f>Decade3!N66</f>
        <v>0</v>
      </c>
      <c r="M82" s="47">
        <f>Decade3!O66</f>
        <v>0</v>
      </c>
      <c r="N82" s="66">
        <f>Decade3!P66</f>
        <v>0</v>
      </c>
      <c r="O82" s="44">
        <f>Decade3!Q66</f>
        <v>0</v>
      </c>
      <c r="P82" s="17">
        <f t="shared" ref="P82:Q85" si="12">SUM(D82,H82,L82)</f>
        <v>5</v>
      </c>
      <c r="Q82" s="5">
        <f t="shared" si="12"/>
        <v>0</v>
      </c>
      <c r="R82" s="7">
        <f>MAX(F82,J82,N82)</f>
        <v>10.3</v>
      </c>
      <c r="S82" s="7">
        <f>SUM(G82,K82,O82)</f>
        <v>30.900000000000002</v>
      </c>
    </row>
    <row r="83" spans="2:19" ht="24.95" customHeight="1" thickBot="1" x14ac:dyDescent="0.3">
      <c r="B83" s="278"/>
      <c r="C83" s="123" t="s">
        <v>149</v>
      </c>
      <c r="D83" s="42">
        <f>Decade1!M74</f>
        <v>0</v>
      </c>
      <c r="E83" s="34">
        <f>Decade1!N74</f>
        <v>0</v>
      </c>
      <c r="F83" s="64">
        <f>Decade1!O74</f>
        <v>0</v>
      </c>
      <c r="G83" s="44">
        <f>Decade1!P74</f>
        <v>0</v>
      </c>
      <c r="H83" s="45">
        <f>Decade2!M70</f>
        <v>0</v>
      </c>
      <c r="I83" s="43">
        <f>Decade2!N70</f>
        <v>0</v>
      </c>
      <c r="J83" s="69">
        <f>Decade2!O70</f>
        <v>0</v>
      </c>
      <c r="K83" s="72">
        <f>Decade2!P70</f>
        <v>0</v>
      </c>
      <c r="L83" s="46">
        <f>Decade3!N67</f>
        <v>0</v>
      </c>
      <c r="M83" s="47">
        <f>Decade3!O67</f>
        <v>0</v>
      </c>
      <c r="N83" s="66">
        <f>Decade3!P67</f>
        <v>0</v>
      </c>
      <c r="O83" s="44">
        <f>Decade3!Q67</f>
        <v>0</v>
      </c>
      <c r="P83" s="17">
        <f t="shared" si="12"/>
        <v>0</v>
      </c>
      <c r="Q83" s="5">
        <f t="shared" si="12"/>
        <v>0</v>
      </c>
      <c r="R83" s="7">
        <f>MAX(F83,J83,N83)</f>
        <v>0</v>
      </c>
      <c r="S83" s="7">
        <f>SUM(G83,K83,O83)</f>
        <v>0</v>
      </c>
    </row>
    <row r="84" spans="2:19" ht="24.95" customHeight="1" thickBot="1" x14ac:dyDescent="0.3">
      <c r="B84" s="278"/>
      <c r="C84" s="123" t="s">
        <v>150</v>
      </c>
      <c r="D84" s="42">
        <f>Decade1!M75</f>
        <v>0</v>
      </c>
      <c r="E84" s="34">
        <f>Decade1!N75</f>
        <v>0</v>
      </c>
      <c r="F84" s="64">
        <f>Decade1!O75</f>
        <v>0</v>
      </c>
      <c r="G84" s="44">
        <f>Decade1!P75</f>
        <v>0</v>
      </c>
      <c r="H84" s="45">
        <f>Decade2!M71</f>
        <v>0</v>
      </c>
      <c r="I84" s="43">
        <f>Decade2!N71</f>
        <v>0</v>
      </c>
      <c r="J84" s="69">
        <f>Decade2!O71</f>
        <v>0</v>
      </c>
      <c r="K84" s="72">
        <f>Decade2!P71</f>
        <v>0</v>
      </c>
      <c r="L84" s="46">
        <f>Decade3!N68</f>
        <v>0</v>
      </c>
      <c r="M84" s="47">
        <f>Decade3!O68</f>
        <v>0</v>
      </c>
      <c r="N84" s="66">
        <f>Decade3!P68</f>
        <v>0</v>
      </c>
      <c r="O84" s="44">
        <f>Decade3!Q68</f>
        <v>0</v>
      </c>
      <c r="P84" s="17">
        <f t="shared" si="12"/>
        <v>0</v>
      </c>
      <c r="Q84" s="5">
        <f t="shared" si="12"/>
        <v>0</v>
      </c>
      <c r="R84" s="7">
        <f>MAX(F84,J84,N84)</f>
        <v>0</v>
      </c>
      <c r="S84" s="7">
        <f>SUM(G84,K84,O84)</f>
        <v>0</v>
      </c>
    </row>
    <row r="85" spans="2:19" ht="24.95" customHeight="1" thickBot="1" x14ac:dyDescent="0.3">
      <c r="B85" s="279"/>
      <c r="C85" s="123" t="s">
        <v>151</v>
      </c>
      <c r="D85" s="42">
        <f>Decade1!M76</f>
        <v>0</v>
      </c>
      <c r="E85" s="121">
        <f>Decade1!N76</f>
        <v>0</v>
      </c>
      <c r="F85" s="64">
        <f>Decade1!O76</f>
        <v>0</v>
      </c>
      <c r="G85" s="44">
        <f>Decade1!P76</f>
        <v>0</v>
      </c>
      <c r="H85" s="45">
        <f>Decade2!M72</f>
        <v>0</v>
      </c>
      <c r="I85" s="43">
        <f>Decade2!N72</f>
        <v>0</v>
      </c>
      <c r="J85" s="69">
        <f>Decade2!O72</f>
        <v>0</v>
      </c>
      <c r="K85" s="72">
        <f>Decade2!P72</f>
        <v>0</v>
      </c>
      <c r="L85" s="46">
        <f>Decade3!N69</f>
        <v>0</v>
      </c>
      <c r="M85" s="47">
        <f>Decade3!O69</f>
        <v>0</v>
      </c>
      <c r="N85" s="66">
        <f>Decade3!P69</f>
        <v>0</v>
      </c>
      <c r="O85" s="44">
        <f>Decade3!Q69</f>
        <v>0</v>
      </c>
      <c r="P85" s="17">
        <f t="shared" si="12"/>
        <v>0</v>
      </c>
      <c r="Q85" s="5">
        <f t="shared" si="12"/>
        <v>0</v>
      </c>
      <c r="R85" s="7">
        <f>MAX(F85,J85,N85)</f>
        <v>0</v>
      </c>
      <c r="S85" s="7">
        <f>SUM(G85,K85,O85)</f>
        <v>0</v>
      </c>
    </row>
    <row r="86" spans="2:19" ht="15.75" customHeight="1" x14ac:dyDescent="0.25">
      <c r="B86" s="239" t="s">
        <v>95</v>
      </c>
      <c r="C86" s="239"/>
      <c r="D86" s="239"/>
      <c r="E86" s="239"/>
      <c r="F86" s="239"/>
      <c r="G86" s="239"/>
      <c r="H86" s="239"/>
      <c r="I86" s="239"/>
      <c r="J86" s="239"/>
      <c r="K86" s="239"/>
      <c r="L86" s="239"/>
      <c r="M86" s="239"/>
      <c r="N86" s="239"/>
      <c r="O86" s="239"/>
      <c r="P86" s="239"/>
      <c r="Q86" s="239"/>
      <c r="R86" s="239"/>
      <c r="S86" s="239"/>
    </row>
    <row r="87" spans="2:19" ht="15.75" customHeight="1" x14ac:dyDescent="0.25"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</row>
    <row r="88" spans="2:19" ht="15.75" customHeight="1" x14ac:dyDescent="0.25"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</row>
    <row r="89" spans="2:19" ht="24" customHeight="1" x14ac:dyDescent="0.25">
      <c r="B89" s="49" t="s">
        <v>100</v>
      </c>
      <c r="F89"/>
      <c r="J89"/>
      <c r="N89"/>
    </row>
    <row r="90" spans="2:19" ht="18" customHeight="1" x14ac:dyDescent="0.25">
      <c r="B90" s="49" t="s">
        <v>101</v>
      </c>
      <c r="F90"/>
      <c r="J90"/>
      <c r="N90"/>
    </row>
    <row r="91" spans="2:19" s="76" customFormat="1" ht="20.25" customHeight="1" thickBot="1" x14ac:dyDescent="0.3">
      <c r="B91" s="75" t="s">
        <v>102</v>
      </c>
    </row>
    <row r="92" spans="2:19" ht="15.75" customHeight="1" thickBot="1" x14ac:dyDescent="0.3">
      <c r="B92" s="277" t="s">
        <v>1</v>
      </c>
      <c r="C92" s="235" t="s">
        <v>2</v>
      </c>
      <c r="D92" s="233" t="str">
        <f>D35</f>
        <v>CUMUL PLUVIOMETRIQUE MENSUEL:  AOUT 2024</v>
      </c>
      <c r="E92" s="234"/>
      <c r="F92" s="234"/>
      <c r="G92" s="234"/>
      <c r="H92" s="234"/>
      <c r="I92" s="234"/>
      <c r="J92" s="234"/>
      <c r="K92" s="234"/>
      <c r="L92" s="234"/>
      <c r="M92" s="234"/>
      <c r="N92" s="234"/>
      <c r="O92" s="234"/>
      <c r="P92" s="234"/>
      <c r="Q92" s="234"/>
      <c r="R92" s="234"/>
      <c r="S92" s="235"/>
    </row>
    <row r="93" spans="2:19" ht="15" customHeight="1" thickBot="1" x14ac:dyDescent="0.3">
      <c r="B93" s="278"/>
      <c r="C93" s="282"/>
      <c r="D93" s="285" t="s">
        <v>86</v>
      </c>
      <c r="E93" s="286"/>
      <c r="F93" s="286"/>
      <c r="G93" s="287"/>
      <c r="H93" s="288" t="s">
        <v>87</v>
      </c>
      <c r="I93" s="286"/>
      <c r="J93" s="286"/>
      <c r="K93" s="287"/>
      <c r="L93" s="288" t="s">
        <v>88</v>
      </c>
      <c r="M93" s="286"/>
      <c r="N93" s="286"/>
      <c r="O93" s="287"/>
      <c r="P93" s="280" t="s">
        <v>0</v>
      </c>
      <c r="Q93" s="280"/>
      <c r="R93" s="280"/>
      <c r="S93" s="281"/>
    </row>
    <row r="94" spans="2:19" ht="22.5" customHeight="1" thickBot="1" x14ac:dyDescent="0.3">
      <c r="B94" s="278"/>
      <c r="C94" s="282"/>
      <c r="D94" s="8" t="s">
        <v>89</v>
      </c>
      <c r="E94" s="8" t="s">
        <v>90</v>
      </c>
      <c r="F94" s="63" t="s">
        <v>106</v>
      </c>
      <c r="G94" s="12" t="s">
        <v>92</v>
      </c>
      <c r="H94" s="15" t="s">
        <v>89</v>
      </c>
      <c r="I94" s="8" t="s">
        <v>91</v>
      </c>
      <c r="J94" s="63" t="s">
        <v>106</v>
      </c>
      <c r="K94" s="12" t="s">
        <v>92</v>
      </c>
      <c r="L94" s="15" t="s">
        <v>89</v>
      </c>
      <c r="M94" s="8" t="s">
        <v>91</v>
      </c>
      <c r="N94" s="63" t="s">
        <v>106</v>
      </c>
      <c r="O94" s="12" t="s">
        <v>92</v>
      </c>
      <c r="P94" s="11" t="s">
        <v>89</v>
      </c>
      <c r="Q94" s="8" t="s">
        <v>91</v>
      </c>
      <c r="R94" s="8" t="s">
        <v>106</v>
      </c>
      <c r="S94" s="8" t="s">
        <v>92</v>
      </c>
    </row>
    <row r="95" spans="2:19" ht="24.95" customHeight="1" thickBot="1" x14ac:dyDescent="0.3">
      <c r="B95" s="277" t="s">
        <v>80</v>
      </c>
      <c r="C95" s="92" t="s">
        <v>38</v>
      </c>
      <c r="D95" s="104">
        <f>Decade1!M85</f>
        <v>0</v>
      </c>
      <c r="E95" s="37">
        <f>Decade1!N85</f>
        <v>0</v>
      </c>
      <c r="F95" s="64">
        <f>Decade1!O85</f>
        <v>0</v>
      </c>
      <c r="G95" s="38">
        <f>Decade1!P85</f>
        <v>0</v>
      </c>
      <c r="H95" s="39">
        <f>Decade2!M78</f>
        <v>0</v>
      </c>
      <c r="I95" s="37">
        <f>Decade2!N78</f>
        <v>0</v>
      </c>
      <c r="J95" s="69">
        <f>Decade2!O78</f>
        <v>0</v>
      </c>
      <c r="K95" s="71">
        <f>Decade2!P78</f>
        <v>0</v>
      </c>
      <c r="L95" s="40">
        <f>Decade3!N75</f>
        <v>0</v>
      </c>
      <c r="M95" s="41">
        <f>Decade3!O75</f>
        <v>0</v>
      </c>
      <c r="N95" s="66">
        <f>Decade3!P75</f>
        <v>0</v>
      </c>
      <c r="O95" s="38">
        <f>Decade3!Q75</f>
        <v>0</v>
      </c>
      <c r="P95" s="17">
        <f t="shared" ref="P95:Q100" si="13">SUM(D95,H95,L95)</f>
        <v>0</v>
      </c>
      <c r="Q95" s="5">
        <f t="shared" si="13"/>
        <v>0</v>
      </c>
      <c r="R95" s="7">
        <f t="shared" ref="R95:R100" si="14">MAX(F95,J95,N95)</f>
        <v>0</v>
      </c>
      <c r="S95" s="7">
        <f t="shared" ref="S95:S100" si="15">SUM(G95,K95,O95)</f>
        <v>0</v>
      </c>
    </row>
    <row r="96" spans="2:19" ht="24.95" customHeight="1" thickBot="1" x14ac:dyDescent="0.3">
      <c r="B96" s="278"/>
      <c r="C96" s="130" t="s">
        <v>134</v>
      </c>
      <c r="D96" s="104">
        <f>Decade1!M86</f>
        <v>1</v>
      </c>
      <c r="E96" s="37">
        <f>Decade1!N86</f>
        <v>0</v>
      </c>
      <c r="F96" s="64">
        <f>Decade1!O86</f>
        <v>0.2</v>
      </c>
      <c r="G96" s="38">
        <f>Decade1!P86</f>
        <v>0.2</v>
      </c>
      <c r="H96" s="39">
        <f>Decade2!M79</f>
        <v>0</v>
      </c>
      <c r="I96" s="37">
        <f>Decade2!N79</f>
        <v>0</v>
      </c>
      <c r="J96" s="69">
        <f>Decade2!O79</f>
        <v>0</v>
      </c>
      <c r="K96" s="71">
        <f>Decade2!P79</f>
        <v>0</v>
      </c>
      <c r="L96" s="40">
        <f>Decade3!N76</f>
        <v>0</v>
      </c>
      <c r="M96" s="41">
        <f>Decade3!O76</f>
        <v>0</v>
      </c>
      <c r="N96" s="66">
        <f>Decade3!P76</f>
        <v>0</v>
      </c>
      <c r="O96" s="38">
        <f>Decade3!Q76</f>
        <v>0</v>
      </c>
      <c r="P96" s="17">
        <f t="shared" si="13"/>
        <v>1</v>
      </c>
      <c r="Q96" s="5">
        <f t="shared" si="13"/>
        <v>0</v>
      </c>
      <c r="R96" s="7">
        <f t="shared" si="14"/>
        <v>0.2</v>
      </c>
      <c r="S96" s="7">
        <f t="shared" si="15"/>
        <v>0.2</v>
      </c>
    </row>
    <row r="97" spans="2:19" ht="24.95" customHeight="1" thickBot="1" x14ac:dyDescent="0.3">
      <c r="B97" s="278"/>
      <c r="C97" s="143" t="s">
        <v>135</v>
      </c>
      <c r="D97" s="104">
        <f>Decade1!M87</f>
        <v>0</v>
      </c>
      <c r="E97" s="37">
        <f>Decade1!N87</f>
        <v>0</v>
      </c>
      <c r="F97" s="64">
        <f>Decade1!O87</f>
        <v>0</v>
      </c>
      <c r="G97" s="38">
        <f>Decade1!P87</f>
        <v>0</v>
      </c>
      <c r="H97" s="39">
        <f>Decade2!M80</f>
        <v>0</v>
      </c>
      <c r="I97" s="37">
        <f>Decade2!N80</f>
        <v>0</v>
      </c>
      <c r="J97" s="69">
        <f>Decade2!O80</f>
        <v>0</v>
      </c>
      <c r="K97" s="71">
        <f>Decade2!P80</f>
        <v>0</v>
      </c>
      <c r="L97" s="40">
        <f>Decade3!N77</f>
        <v>0</v>
      </c>
      <c r="M97" s="41">
        <f>Decade3!O77</f>
        <v>0</v>
      </c>
      <c r="N97" s="66">
        <f>Decade3!P77</f>
        <v>0</v>
      </c>
      <c r="O97" s="38">
        <f>Decade3!Q77</f>
        <v>0</v>
      </c>
      <c r="P97" s="17">
        <f t="shared" si="13"/>
        <v>0</v>
      </c>
      <c r="Q97" s="5">
        <f t="shared" si="13"/>
        <v>0</v>
      </c>
      <c r="R97" s="7">
        <f t="shared" si="14"/>
        <v>0</v>
      </c>
      <c r="S97" s="7">
        <f t="shared" si="15"/>
        <v>0</v>
      </c>
    </row>
    <row r="98" spans="2:19" ht="24.95" customHeight="1" thickBot="1" x14ac:dyDescent="0.3">
      <c r="B98" s="278"/>
      <c r="C98" s="143" t="s">
        <v>40</v>
      </c>
      <c r="D98" s="104">
        <f>Decade1!M88</f>
        <v>0</v>
      </c>
      <c r="E98" s="37">
        <f>Decade1!N88</f>
        <v>0</v>
      </c>
      <c r="F98" s="64">
        <f>Decade1!O88</f>
        <v>0</v>
      </c>
      <c r="G98" s="38">
        <f>Decade1!P88</f>
        <v>0</v>
      </c>
      <c r="H98" s="39">
        <f>Decade2!M81</f>
        <v>0</v>
      </c>
      <c r="I98" s="37">
        <f>Decade2!N81</f>
        <v>0</v>
      </c>
      <c r="J98" s="69">
        <f>Decade2!O81</f>
        <v>0</v>
      </c>
      <c r="K98" s="71">
        <f>Decade2!P81</f>
        <v>0</v>
      </c>
      <c r="L98" s="40">
        <f>Decade3!N78</f>
        <v>0</v>
      </c>
      <c r="M98" s="41">
        <f>Decade3!O78</f>
        <v>0</v>
      </c>
      <c r="N98" s="66">
        <f>Decade3!P78</f>
        <v>0</v>
      </c>
      <c r="O98" s="38">
        <f>Decade3!Q78</f>
        <v>0</v>
      </c>
      <c r="P98" s="17">
        <f t="shared" si="13"/>
        <v>0</v>
      </c>
      <c r="Q98" s="5">
        <f t="shared" si="13"/>
        <v>0</v>
      </c>
      <c r="R98" s="7">
        <f t="shared" si="14"/>
        <v>0</v>
      </c>
      <c r="S98" s="7">
        <f t="shared" si="15"/>
        <v>0</v>
      </c>
    </row>
    <row r="99" spans="2:19" ht="24.95" customHeight="1" thickBot="1" x14ac:dyDescent="0.3">
      <c r="B99" s="278"/>
      <c r="C99" s="143" t="s">
        <v>152</v>
      </c>
      <c r="D99" s="104">
        <f>Decade1!M89</f>
        <v>0</v>
      </c>
      <c r="E99" s="37">
        <f>Decade1!N89</f>
        <v>0</v>
      </c>
      <c r="F99" s="64">
        <f>Decade1!O89</f>
        <v>0</v>
      </c>
      <c r="G99" s="38">
        <f>Decade1!P89</f>
        <v>0</v>
      </c>
      <c r="H99" s="39">
        <f>Decade2!M82</f>
        <v>0</v>
      </c>
      <c r="I99" s="37">
        <f>Decade2!N82</f>
        <v>0</v>
      </c>
      <c r="J99" s="69">
        <f>Decade2!O82</f>
        <v>0</v>
      </c>
      <c r="K99" s="71">
        <f>Decade2!P82</f>
        <v>0</v>
      </c>
      <c r="L99" s="40">
        <f>Decade3!N79</f>
        <v>0</v>
      </c>
      <c r="M99" s="41">
        <f>Decade3!O79</f>
        <v>0</v>
      </c>
      <c r="N99" s="66">
        <f>Decade3!P79</f>
        <v>0</v>
      </c>
      <c r="O99" s="38">
        <f>Decade3!Q79</f>
        <v>0</v>
      </c>
      <c r="P99" s="17">
        <f t="shared" si="13"/>
        <v>0</v>
      </c>
      <c r="Q99" s="5">
        <f t="shared" si="13"/>
        <v>0</v>
      </c>
      <c r="R99" s="7">
        <f t="shared" si="14"/>
        <v>0</v>
      </c>
      <c r="S99" s="7">
        <f t="shared" si="15"/>
        <v>0</v>
      </c>
    </row>
    <row r="100" spans="2:19" ht="24.95" customHeight="1" thickBot="1" x14ac:dyDescent="0.3">
      <c r="B100" s="278"/>
      <c r="C100" s="143" t="s">
        <v>153</v>
      </c>
      <c r="D100" s="104">
        <f>Decade1!M90</f>
        <v>0</v>
      </c>
      <c r="E100" s="37">
        <f>Decade1!N90</f>
        <v>0</v>
      </c>
      <c r="F100" s="64">
        <f>Decade1!O90</f>
        <v>0</v>
      </c>
      <c r="G100" s="38">
        <f>Decade1!P90</f>
        <v>0</v>
      </c>
      <c r="H100" s="39">
        <f>Decade2!M83</f>
        <v>0</v>
      </c>
      <c r="I100" s="37">
        <f>Decade2!N83</f>
        <v>0</v>
      </c>
      <c r="J100" s="69">
        <f>Decade2!O83</f>
        <v>0</v>
      </c>
      <c r="K100" s="71">
        <f>Decade2!P83</f>
        <v>0</v>
      </c>
      <c r="L100" s="40">
        <f>Decade3!N80</f>
        <v>0</v>
      </c>
      <c r="M100" s="41">
        <f>Decade3!O80</f>
        <v>0</v>
      </c>
      <c r="N100" s="66">
        <f>Decade3!P80</f>
        <v>0</v>
      </c>
      <c r="O100" s="38">
        <f>Decade3!Q80</f>
        <v>0</v>
      </c>
      <c r="P100" s="17">
        <f t="shared" si="13"/>
        <v>0</v>
      </c>
      <c r="Q100" s="5">
        <f t="shared" si="13"/>
        <v>0</v>
      </c>
      <c r="R100" s="7">
        <f t="shared" si="14"/>
        <v>0</v>
      </c>
      <c r="S100" s="7">
        <f t="shared" si="15"/>
        <v>0</v>
      </c>
    </row>
    <row r="101" spans="2:19" ht="24.95" customHeight="1" thickBot="1" x14ac:dyDescent="0.3">
      <c r="B101" s="278"/>
      <c r="C101" s="143" t="s">
        <v>39</v>
      </c>
      <c r="D101" s="104">
        <f>Decade1!M91</f>
        <v>0</v>
      </c>
      <c r="E101" s="37">
        <f>Decade1!N91</f>
        <v>0</v>
      </c>
      <c r="F101" s="64">
        <f>Decade1!O91</f>
        <v>0</v>
      </c>
      <c r="G101" s="38">
        <f>Decade1!P91</f>
        <v>0</v>
      </c>
      <c r="H101" s="39">
        <f>Decade2!M84</f>
        <v>3</v>
      </c>
      <c r="I101" s="37">
        <f>Decade2!N84</f>
        <v>0</v>
      </c>
      <c r="J101" s="69">
        <f>Decade2!O84</f>
        <v>0.7</v>
      </c>
      <c r="K101" s="71">
        <f>Decade2!P84</f>
        <v>1.5999999999999999</v>
      </c>
      <c r="L101" s="40">
        <f>Decade3!N81</f>
        <v>0</v>
      </c>
      <c r="M101" s="41">
        <f>Decade3!O81</f>
        <v>0</v>
      </c>
      <c r="N101" s="66">
        <f>Decade3!P81</f>
        <v>0</v>
      </c>
      <c r="O101" s="38">
        <f>Decade3!Q81</f>
        <v>0</v>
      </c>
      <c r="P101" s="17">
        <f t="shared" ref="P101:P108" si="16">SUM(D101,H101,L101)</f>
        <v>3</v>
      </c>
      <c r="Q101" s="5">
        <f t="shared" ref="Q101:Q108" si="17">SUM(E101,I101,M101)</f>
        <v>0</v>
      </c>
      <c r="R101" s="7">
        <f t="shared" ref="R101:R108" si="18">MAX(F101,J101,N101)</f>
        <v>0.7</v>
      </c>
      <c r="S101" s="7">
        <f t="shared" ref="S101:S108" si="19">SUM(G101,K101,O101)</f>
        <v>1.5999999999999999</v>
      </c>
    </row>
    <row r="102" spans="2:19" ht="24.95" customHeight="1" thickBot="1" x14ac:dyDescent="0.3">
      <c r="B102" s="278"/>
      <c r="C102" s="143" t="s">
        <v>42</v>
      </c>
      <c r="D102" s="104">
        <f>Decade1!M92</f>
        <v>0</v>
      </c>
      <c r="E102" s="37">
        <f>Decade1!N92</f>
        <v>0</v>
      </c>
      <c r="F102" s="64">
        <f>Decade1!O92</f>
        <v>0</v>
      </c>
      <c r="G102" s="38">
        <f>Decade1!P92</f>
        <v>0</v>
      </c>
      <c r="H102" s="39">
        <f>Decade2!M85</f>
        <v>0</v>
      </c>
      <c r="I102" s="37">
        <f>Decade2!N85</f>
        <v>0</v>
      </c>
      <c r="J102" s="69">
        <f>Decade2!O85</f>
        <v>0</v>
      </c>
      <c r="K102" s="71">
        <f>Decade2!P85</f>
        <v>0</v>
      </c>
      <c r="L102" s="40">
        <f>Decade3!N82</f>
        <v>0</v>
      </c>
      <c r="M102" s="41">
        <f>Decade3!O82</f>
        <v>0</v>
      </c>
      <c r="N102" s="66">
        <f>Decade3!P82</f>
        <v>0</v>
      </c>
      <c r="O102" s="38">
        <f>Decade3!Q82</f>
        <v>0</v>
      </c>
      <c r="P102" s="17">
        <f t="shared" si="16"/>
        <v>0</v>
      </c>
      <c r="Q102" s="5">
        <f t="shared" si="17"/>
        <v>0</v>
      </c>
      <c r="R102" s="7">
        <f t="shared" si="18"/>
        <v>0</v>
      </c>
      <c r="S102" s="7">
        <f t="shared" si="19"/>
        <v>0</v>
      </c>
    </row>
    <row r="103" spans="2:19" ht="24.95" customHeight="1" thickBot="1" x14ac:dyDescent="0.3">
      <c r="B103" s="278"/>
      <c r="C103" s="143" t="s">
        <v>43</v>
      </c>
      <c r="D103" s="104">
        <f>Decade1!M93</f>
        <v>0</v>
      </c>
      <c r="E103" s="37">
        <f>Decade1!N93</f>
        <v>0</v>
      </c>
      <c r="F103" s="64">
        <f>Decade1!O93</f>
        <v>0</v>
      </c>
      <c r="G103" s="38">
        <f>Decade1!P93</f>
        <v>0</v>
      </c>
      <c r="H103" s="39">
        <f>Decade2!M86</f>
        <v>0</v>
      </c>
      <c r="I103" s="37">
        <f>Decade2!N86</f>
        <v>0</v>
      </c>
      <c r="J103" s="69">
        <f>Decade2!O86</f>
        <v>0</v>
      </c>
      <c r="K103" s="71">
        <f>Decade2!P86</f>
        <v>0</v>
      </c>
      <c r="L103" s="40">
        <f>Decade3!N83</f>
        <v>0</v>
      </c>
      <c r="M103" s="41">
        <f>Decade3!O83</f>
        <v>0</v>
      </c>
      <c r="N103" s="66">
        <f>Decade3!P83</f>
        <v>0</v>
      </c>
      <c r="O103" s="38">
        <f>Decade3!Q83</f>
        <v>0</v>
      </c>
      <c r="P103" s="17">
        <f t="shared" si="16"/>
        <v>0</v>
      </c>
      <c r="Q103" s="5">
        <f t="shared" si="17"/>
        <v>0</v>
      </c>
      <c r="R103" s="7">
        <f t="shared" si="18"/>
        <v>0</v>
      </c>
      <c r="S103" s="7">
        <f t="shared" si="19"/>
        <v>0</v>
      </c>
    </row>
    <row r="104" spans="2:19" ht="24.95" customHeight="1" thickBot="1" x14ac:dyDescent="0.3">
      <c r="B104" s="278"/>
      <c r="C104" s="143" t="s">
        <v>45</v>
      </c>
      <c r="D104" s="104">
        <f>Decade1!M94</f>
        <v>0</v>
      </c>
      <c r="E104" s="37">
        <f>Decade1!N94</f>
        <v>0</v>
      </c>
      <c r="F104" s="64">
        <f>Decade1!O94</f>
        <v>0</v>
      </c>
      <c r="G104" s="38">
        <f>Decade1!P94</f>
        <v>0</v>
      </c>
      <c r="H104" s="39">
        <f>Decade2!M87</f>
        <v>0</v>
      </c>
      <c r="I104" s="37">
        <f>Decade2!N87</f>
        <v>0</v>
      </c>
      <c r="J104" s="69">
        <f>Decade2!O87</f>
        <v>0</v>
      </c>
      <c r="K104" s="71">
        <f>Decade2!P87</f>
        <v>0</v>
      </c>
      <c r="L104" s="40">
        <f>Decade3!N84</f>
        <v>0</v>
      </c>
      <c r="M104" s="41">
        <f>Decade3!O84</f>
        <v>0</v>
      </c>
      <c r="N104" s="66">
        <f>Decade3!P84</f>
        <v>0</v>
      </c>
      <c r="O104" s="38">
        <f>Decade3!Q84</f>
        <v>0</v>
      </c>
      <c r="P104" s="17">
        <f t="shared" si="16"/>
        <v>0</v>
      </c>
      <c r="Q104" s="5">
        <f t="shared" si="17"/>
        <v>0</v>
      </c>
      <c r="R104" s="7">
        <f t="shared" si="18"/>
        <v>0</v>
      </c>
      <c r="S104" s="7">
        <f t="shared" si="19"/>
        <v>0</v>
      </c>
    </row>
    <row r="105" spans="2:19" ht="24.95" customHeight="1" thickBot="1" x14ac:dyDescent="0.3">
      <c r="B105" s="278"/>
      <c r="C105" s="143" t="s">
        <v>44</v>
      </c>
      <c r="D105" s="104">
        <f>Decade1!M95</f>
        <v>2</v>
      </c>
      <c r="E105" s="37">
        <f>Decade1!N95</f>
        <v>0</v>
      </c>
      <c r="F105" s="64">
        <f>Decade1!O95</f>
        <v>2.2999999999999998</v>
      </c>
      <c r="G105" s="38">
        <f>Decade1!P95</f>
        <v>2.6999999999999997</v>
      </c>
      <c r="H105" s="39">
        <f>Decade2!M88</f>
        <v>0</v>
      </c>
      <c r="I105" s="37">
        <f>Decade2!N88</f>
        <v>0</v>
      </c>
      <c r="J105" s="69">
        <f>Decade2!O88</f>
        <v>0</v>
      </c>
      <c r="K105" s="71">
        <f>Decade2!P88</f>
        <v>0</v>
      </c>
      <c r="L105" s="40">
        <f>Decade3!N85</f>
        <v>0</v>
      </c>
      <c r="M105" s="41">
        <f>Decade3!O85</f>
        <v>0</v>
      </c>
      <c r="N105" s="66">
        <f>Decade3!P85</f>
        <v>0</v>
      </c>
      <c r="O105" s="38">
        <f>Decade3!Q85</f>
        <v>0</v>
      </c>
      <c r="P105" s="17">
        <f t="shared" si="16"/>
        <v>2</v>
      </c>
      <c r="Q105" s="5">
        <f t="shared" si="17"/>
        <v>0</v>
      </c>
      <c r="R105" s="7">
        <f t="shared" si="18"/>
        <v>2.2999999999999998</v>
      </c>
      <c r="S105" s="7">
        <f t="shared" si="19"/>
        <v>2.6999999999999997</v>
      </c>
    </row>
    <row r="106" spans="2:19" ht="24.95" customHeight="1" thickBot="1" x14ac:dyDescent="0.3">
      <c r="B106" s="278"/>
      <c r="C106" s="131" t="s">
        <v>41</v>
      </c>
      <c r="D106" s="104">
        <f>Decade1!M96</f>
        <v>0</v>
      </c>
      <c r="E106" s="37">
        <f>Decade1!N96</f>
        <v>0</v>
      </c>
      <c r="F106" s="64">
        <f>Decade1!O96</f>
        <v>0</v>
      </c>
      <c r="G106" s="38">
        <f>Decade1!P96</f>
        <v>0</v>
      </c>
      <c r="H106" s="39">
        <f>Decade2!M89</f>
        <v>0</v>
      </c>
      <c r="I106" s="37">
        <f>Decade2!N89</f>
        <v>0</v>
      </c>
      <c r="J106" s="69">
        <f>Decade2!O89</f>
        <v>0</v>
      </c>
      <c r="K106" s="71">
        <f>Decade2!P89</f>
        <v>0</v>
      </c>
      <c r="L106" s="40">
        <f>Decade3!N86</f>
        <v>0</v>
      </c>
      <c r="M106" s="41">
        <f>Decade3!O86</f>
        <v>0</v>
      </c>
      <c r="N106" s="66">
        <f>Decade3!P86</f>
        <v>0</v>
      </c>
      <c r="O106" s="38">
        <f>Decade3!Q86</f>
        <v>0</v>
      </c>
      <c r="P106" s="17">
        <f t="shared" si="16"/>
        <v>0</v>
      </c>
      <c r="Q106" s="5">
        <f t="shared" si="17"/>
        <v>0</v>
      </c>
      <c r="R106" s="7">
        <f t="shared" si="18"/>
        <v>0</v>
      </c>
      <c r="S106" s="7">
        <f t="shared" si="19"/>
        <v>0</v>
      </c>
    </row>
    <row r="107" spans="2:19" ht="24.95" customHeight="1" thickBot="1" x14ac:dyDescent="0.3">
      <c r="B107" s="278"/>
      <c r="C107" s="92" t="s">
        <v>46</v>
      </c>
      <c r="D107" s="104">
        <f>Decade1!M97</f>
        <v>1</v>
      </c>
      <c r="E107" s="37">
        <f>Decade1!N97</f>
        <v>0</v>
      </c>
      <c r="F107" s="64">
        <f>Decade1!O97</f>
        <v>0.3</v>
      </c>
      <c r="G107" s="38">
        <f>Decade1!P97</f>
        <v>0.3</v>
      </c>
      <c r="H107" s="39">
        <f>Decade2!M90</f>
        <v>0</v>
      </c>
      <c r="I107" s="37">
        <f>Decade2!N90</f>
        <v>0</v>
      </c>
      <c r="J107" s="69">
        <f>Decade2!O90</f>
        <v>0</v>
      </c>
      <c r="K107" s="71">
        <f>Decade2!P90</f>
        <v>0</v>
      </c>
      <c r="L107" s="40">
        <f>Decade3!N87</f>
        <v>0</v>
      </c>
      <c r="M107" s="41">
        <f>Decade3!O87</f>
        <v>0</v>
      </c>
      <c r="N107" s="66">
        <f>Decade3!P87</f>
        <v>0</v>
      </c>
      <c r="O107" s="38">
        <f>Decade3!Q87</f>
        <v>0</v>
      </c>
      <c r="P107" s="17">
        <f t="shared" si="16"/>
        <v>1</v>
      </c>
      <c r="Q107" s="5">
        <f t="shared" si="17"/>
        <v>0</v>
      </c>
      <c r="R107" s="7">
        <f t="shared" si="18"/>
        <v>0.3</v>
      </c>
      <c r="S107" s="7">
        <f t="shared" si="19"/>
        <v>0.3</v>
      </c>
    </row>
    <row r="108" spans="2:19" ht="16.5" thickBot="1" x14ac:dyDescent="0.3">
      <c r="B108" s="278"/>
      <c r="C108" s="92" t="s">
        <v>122</v>
      </c>
      <c r="D108" s="104">
        <f>Decade1!M98</f>
        <v>0</v>
      </c>
      <c r="E108" s="37">
        <f>Decade1!N98</f>
        <v>0</v>
      </c>
      <c r="F108" s="64">
        <f>Decade1!O98</f>
        <v>0</v>
      </c>
      <c r="G108" s="38">
        <f>Decade1!P98</f>
        <v>0</v>
      </c>
      <c r="H108" s="39">
        <f>Decade2!M91</f>
        <v>0</v>
      </c>
      <c r="I108" s="37">
        <f>Decade2!N91</f>
        <v>0</v>
      </c>
      <c r="J108" s="69">
        <f>Decade2!O91</f>
        <v>0</v>
      </c>
      <c r="K108" s="71">
        <f>Decade2!P91</f>
        <v>0</v>
      </c>
      <c r="L108" s="40">
        <f>Decade3!N88</f>
        <v>0</v>
      </c>
      <c r="M108" s="41">
        <f>Decade3!O88</f>
        <v>0</v>
      </c>
      <c r="N108" s="66">
        <f>Decade3!P88</f>
        <v>0</v>
      </c>
      <c r="O108" s="38">
        <f>Decade3!Q88</f>
        <v>0</v>
      </c>
      <c r="P108" s="17">
        <f t="shared" si="16"/>
        <v>0</v>
      </c>
      <c r="Q108" s="5">
        <f t="shared" si="17"/>
        <v>0</v>
      </c>
      <c r="R108" s="7">
        <f t="shared" si="18"/>
        <v>0</v>
      </c>
      <c r="S108" s="7">
        <f t="shared" si="19"/>
        <v>0</v>
      </c>
    </row>
    <row r="109" spans="2:19" ht="24.95" customHeight="1" thickBot="1" x14ac:dyDescent="0.3">
      <c r="B109" s="278"/>
      <c r="C109" s="92" t="s">
        <v>123</v>
      </c>
      <c r="D109" s="104">
        <f>Decade1!M99</f>
        <v>0</v>
      </c>
      <c r="E109" s="37">
        <f>Decade1!N99</f>
        <v>0</v>
      </c>
      <c r="F109" s="64">
        <f>Decade1!O99</f>
        <v>0</v>
      </c>
      <c r="G109" s="38">
        <f>Decade1!P99</f>
        <v>0</v>
      </c>
      <c r="H109" s="39">
        <f>Decade2!M92</f>
        <v>0</v>
      </c>
      <c r="I109" s="37">
        <f>Decade2!N92</f>
        <v>0</v>
      </c>
      <c r="J109" s="69">
        <f>Decade2!O92</f>
        <v>0</v>
      </c>
      <c r="K109" s="71">
        <f>Decade2!P92</f>
        <v>0</v>
      </c>
      <c r="L109" s="40">
        <f>Decade3!N89</f>
        <v>0</v>
      </c>
      <c r="M109" s="41">
        <f>Decade3!O89</f>
        <v>0</v>
      </c>
      <c r="N109" s="66">
        <f>Decade3!P89</f>
        <v>0</v>
      </c>
      <c r="O109" s="38">
        <f>Decade3!Q89</f>
        <v>0</v>
      </c>
      <c r="P109" s="17">
        <f t="shared" ref="P109:Q111" si="20">SUM(D109,H109,L109)</f>
        <v>0</v>
      </c>
      <c r="Q109" s="5">
        <f t="shared" si="20"/>
        <v>0</v>
      </c>
      <c r="R109" s="7">
        <f>MAX(F109,J109,N109)</f>
        <v>0</v>
      </c>
      <c r="S109" s="7">
        <f>SUM(G109,K109,O109)</f>
        <v>0</v>
      </c>
    </row>
    <row r="110" spans="2:19" ht="24.95" customHeight="1" thickBot="1" x14ac:dyDescent="0.3">
      <c r="B110" s="278"/>
      <c r="C110" s="92" t="s">
        <v>143</v>
      </c>
      <c r="D110" s="104">
        <f>Decade1!M100</f>
        <v>0</v>
      </c>
      <c r="E110" s="37">
        <f>Decade1!N100</f>
        <v>0</v>
      </c>
      <c r="F110" s="64">
        <f>Decade1!O100</f>
        <v>11</v>
      </c>
      <c r="G110" s="38">
        <f>Decade1!P100</f>
        <v>11</v>
      </c>
      <c r="H110" s="39">
        <f>Decade2!M93</f>
        <v>1</v>
      </c>
      <c r="I110" s="37">
        <f>Decade2!N93</f>
        <v>0</v>
      </c>
      <c r="J110" s="69">
        <f>Decade2!O93</f>
        <v>0.4</v>
      </c>
      <c r="K110" s="71">
        <f>Decade2!P93</f>
        <v>0.4</v>
      </c>
      <c r="L110" s="40">
        <f>Decade3!N90</f>
        <v>0</v>
      </c>
      <c r="M110" s="41">
        <f>Decade3!O90</f>
        <v>0</v>
      </c>
      <c r="N110" s="66">
        <f>Decade3!P90</f>
        <v>0</v>
      </c>
      <c r="O110" s="38">
        <f>Decade3!Q90</f>
        <v>0</v>
      </c>
      <c r="P110" s="17">
        <f t="shared" si="20"/>
        <v>1</v>
      </c>
      <c r="Q110" s="5">
        <f t="shared" si="20"/>
        <v>0</v>
      </c>
      <c r="R110" s="7">
        <f>MAX(F110,J110,N110)</f>
        <v>11</v>
      </c>
      <c r="S110" s="7">
        <f>SUM(G110,K110,O110)</f>
        <v>11.4</v>
      </c>
    </row>
    <row r="111" spans="2:19" ht="24.95" customHeight="1" thickBot="1" x14ac:dyDescent="0.3">
      <c r="B111" s="279"/>
      <c r="C111" s="92" t="s">
        <v>145</v>
      </c>
      <c r="D111" s="104">
        <f>Decade1!M101</f>
        <v>0</v>
      </c>
      <c r="E111" s="37">
        <f>Decade1!N101</f>
        <v>0</v>
      </c>
      <c r="F111" s="64">
        <f>Decade1!O101</f>
        <v>0</v>
      </c>
      <c r="G111" s="38">
        <f>Decade1!P101</f>
        <v>0</v>
      </c>
      <c r="H111" s="39">
        <f>Decade2!M94</f>
        <v>0</v>
      </c>
      <c r="I111" s="37">
        <f>Decade2!N94</f>
        <v>0</v>
      </c>
      <c r="J111" s="69">
        <f>Decade2!O94</f>
        <v>0</v>
      </c>
      <c r="K111" s="71">
        <f>Decade2!P94</f>
        <v>0</v>
      </c>
      <c r="L111" s="40">
        <f>Decade3!N91</f>
        <v>1</v>
      </c>
      <c r="M111" s="41">
        <f>Decade3!O91</f>
        <v>0</v>
      </c>
      <c r="N111" s="66">
        <f>Decade3!P91</f>
        <v>7.4</v>
      </c>
      <c r="O111" s="38">
        <f>Decade3!Q91</f>
        <v>7.4</v>
      </c>
      <c r="P111" s="17">
        <f t="shared" si="20"/>
        <v>1</v>
      </c>
      <c r="Q111" s="5">
        <f t="shared" si="20"/>
        <v>0</v>
      </c>
      <c r="R111" s="7">
        <f>MAX(F111,J111,N111)</f>
        <v>7.4</v>
      </c>
      <c r="S111" s="7">
        <f>SUM(G111,K111,O111)</f>
        <v>7.4</v>
      </c>
    </row>
    <row r="112" spans="2:19" ht="24.95" customHeight="1" x14ac:dyDescent="0.25">
      <c r="B112" s="32"/>
      <c r="C112" s="32"/>
      <c r="D112" s="77"/>
      <c r="E112" s="77"/>
      <c r="F112" s="33"/>
      <c r="G112" s="33"/>
      <c r="H112" s="77"/>
      <c r="I112" s="77"/>
      <c r="J112" s="33"/>
      <c r="K112" s="33"/>
      <c r="L112" s="77"/>
      <c r="M112" s="77"/>
      <c r="N112" s="33"/>
      <c r="O112" s="33"/>
      <c r="P112" s="77"/>
      <c r="Q112" s="77"/>
      <c r="R112" s="33"/>
      <c r="S112" s="33"/>
    </row>
    <row r="113" spans="2:19" ht="20.100000000000001" customHeight="1" x14ac:dyDescent="0.25">
      <c r="B113" s="239" t="s">
        <v>95</v>
      </c>
      <c r="C113" s="239"/>
      <c r="D113" s="239"/>
      <c r="E113" s="239"/>
      <c r="F113" s="239"/>
      <c r="G113" s="239"/>
      <c r="H113" s="239"/>
      <c r="I113" s="239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</row>
    <row r="114" spans="2:19" ht="20.100000000000001" customHeight="1" x14ac:dyDescent="0.25">
      <c r="B114" s="56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</row>
    <row r="115" spans="2:19" ht="20.100000000000001" customHeight="1" x14ac:dyDescent="0.25">
      <c r="B115" s="56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</row>
    <row r="116" spans="2:19" ht="20.100000000000001" customHeight="1" x14ac:dyDescent="0.25">
      <c r="B116" s="56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</row>
    <row r="117" spans="2:19" ht="20.100000000000001" customHeight="1" x14ac:dyDescent="0.25"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</row>
    <row r="118" spans="2:19" ht="20.100000000000001" customHeight="1" x14ac:dyDescent="0.25">
      <c r="B118" s="56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</row>
    <row r="119" spans="2:19" ht="20.100000000000001" customHeight="1" x14ac:dyDescent="0.25">
      <c r="B119" s="56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</row>
    <row r="120" spans="2:19" ht="20.100000000000001" customHeight="1" x14ac:dyDescent="0.25">
      <c r="B120" s="56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</row>
    <row r="121" spans="2:19" ht="20.100000000000001" customHeight="1" x14ac:dyDescent="0.25">
      <c r="B121" s="56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</row>
    <row r="122" spans="2:19" ht="20.100000000000001" customHeight="1" x14ac:dyDescent="0.25">
      <c r="B122" s="56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</row>
    <row r="123" spans="2:19" ht="24" customHeight="1" x14ac:dyDescent="0.25">
      <c r="B123" s="49" t="s">
        <v>100</v>
      </c>
      <c r="F123"/>
      <c r="J123"/>
      <c r="N123"/>
    </row>
    <row r="124" spans="2:19" ht="18" customHeight="1" x14ac:dyDescent="0.25">
      <c r="B124" s="49" t="s">
        <v>101</v>
      </c>
      <c r="F124"/>
      <c r="J124"/>
      <c r="N124"/>
    </row>
    <row r="125" spans="2:19" s="76" customFormat="1" ht="20.25" customHeight="1" thickBot="1" x14ac:dyDescent="0.3">
      <c r="B125" s="75" t="s">
        <v>102</v>
      </c>
    </row>
    <row r="126" spans="2:19" ht="20.100000000000001" customHeight="1" thickBot="1" x14ac:dyDescent="0.3">
      <c r="B126" s="283" t="s">
        <v>1</v>
      </c>
      <c r="C126" s="277" t="s">
        <v>2</v>
      </c>
      <c r="D126" s="233" t="str">
        <f>D35</f>
        <v>CUMUL PLUVIOMETRIQUE MENSUEL:  AOUT 2024</v>
      </c>
      <c r="E126" s="234"/>
      <c r="F126" s="234"/>
      <c r="G126" s="234"/>
      <c r="H126" s="234"/>
      <c r="I126" s="234"/>
      <c r="J126" s="234"/>
      <c r="K126" s="234"/>
      <c r="L126" s="234"/>
      <c r="M126" s="234"/>
      <c r="N126" s="234"/>
      <c r="O126" s="234"/>
      <c r="P126" s="234"/>
      <c r="Q126" s="234"/>
      <c r="R126" s="234"/>
      <c r="S126" s="235"/>
    </row>
    <row r="127" spans="2:19" ht="20.100000000000001" customHeight="1" thickBot="1" x14ac:dyDescent="0.3">
      <c r="B127" s="284"/>
      <c r="C127" s="278"/>
      <c r="D127" s="285" t="s">
        <v>86</v>
      </c>
      <c r="E127" s="286"/>
      <c r="F127" s="286"/>
      <c r="G127" s="287"/>
      <c r="H127" s="288" t="s">
        <v>87</v>
      </c>
      <c r="I127" s="286"/>
      <c r="J127" s="286"/>
      <c r="K127" s="287"/>
      <c r="L127" s="288" t="s">
        <v>88</v>
      </c>
      <c r="M127" s="286"/>
      <c r="N127" s="286"/>
      <c r="O127" s="287"/>
      <c r="P127" s="280" t="s">
        <v>0</v>
      </c>
      <c r="Q127" s="280"/>
      <c r="R127" s="280"/>
      <c r="S127" s="281"/>
    </row>
    <row r="128" spans="2:19" ht="24" customHeight="1" thickBot="1" x14ac:dyDescent="0.3">
      <c r="B128" s="284"/>
      <c r="C128" s="278"/>
      <c r="D128" s="8" t="s">
        <v>89</v>
      </c>
      <c r="E128" s="8" t="s">
        <v>90</v>
      </c>
      <c r="F128" s="63" t="s">
        <v>106</v>
      </c>
      <c r="G128" s="12" t="s">
        <v>92</v>
      </c>
      <c r="H128" s="15" t="s">
        <v>89</v>
      </c>
      <c r="I128" s="8" t="s">
        <v>91</v>
      </c>
      <c r="J128" s="63" t="s">
        <v>106</v>
      </c>
      <c r="K128" s="12" t="s">
        <v>92</v>
      </c>
      <c r="L128" s="15" t="s">
        <v>89</v>
      </c>
      <c r="M128" s="8" t="s">
        <v>91</v>
      </c>
      <c r="N128" s="63" t="s">
        <v>106</v>
      </c>
      <c r="O128" s="12" t="s">
        <v>92</v>
      </c>
      <c r="P128" s="11" t="s">
        <v>89</v>
      </c>
      <c r="Q128" s="8" t="s">
        <v>91</v>
      </c>
      <c r="R128" s="8" t="s">
        <v>106</v>
      </c>
      <c r="S128" s="8" t="s">
        <v>92</v>
      </c>
    </row>
    <row r="129" spans="2:19" ht="24.95" customHeight="1" thickBot="1" x14ac:dyDescent="0.3">
      <c r="B129" s="277" t="s">
        <v>81</v>
      </c>
      <c r="C129" s="92" t="s">
        <v>47</v>
      </c>
      <c r="D129" s="103">
        <f>Decade1!M113</f>
        <v>0</v>
      </c>
      <c r="E129" s="9">
        <f>Decade1!N113</f>
        <v>0</v>
      </c>
      <c r="F129" s="64">
        <f>Decade1!O113</f>
        <v>0</v>
      </c>
      <c r="G129" s="14">
        <f>Decade1!P113</f>
        <v>0</v>
      </c>
      <c r="H129" s="16">
        <f>Decade2!M99</f>
        <v>2</v>
      </c>
      <c r="I129" s="9">
        <f>Decade2!N99</f>
        <v>0</v>
      </c>
      <c r="J129" s="70">
        <f>Decade2!O99</f>
        <v>2.8</v>
      </c>
      <c r="K129" s="68">
        <f>Decade2!P99</f>
        <v>5.0999999999999996</v>
      </c>
      <c r="L129" s="18">
        <f>Decade3!N97</f>
        <v>0</v>
      </c>
      <c r="M129" s="10">
        <f>Decade3!O97</f>
        <v>0</v>
      </c>
      <c r="N129" s="66">
        <f>Decade3!P97</f>
        <v>0</v>
      </c>
      <c r="O129" s="14">
        <f>Decade3!Q97</f>
        <v>0</v>
      </c>
      <c r="P129" s="17">
        <f>SUM(D129,H129,L129)</f>
        <v>2</v>
      </c>
      <c r="Q129" s="5">
        <f>SUM(E129,I129,M129)</f>
        <v>0</v>
      </c>
      <c r="R129" s="7">
        <f>MAX(F129,J129,N129)</f>
        <v>2.8</v>
      </c>
      <c r="S129" s="7">
        <f>SUM(G129,K129,O129)</f>
        <v>5.0999999999999996</v>
      </c>
    </row>
    <row r="130" spans="2:19" ht="24.95" customHeight="1" thickBot="1" x14ac:dyDescent="0.3">
      <c r="B130" s="278"/>
      <c r="C130" s="92" t="s">
        <v>48</v>
      </c>
      <c r="D130" s="103">
        <f>Decade1!M114</f>
        <v>0</v>
      </c>
      <c r="E130" s="9">
        <f>Decade1!N114</f>
        <v>0</v>
      </c>
      <c r="F130" s="64">
        <f>Decade1!O114</f>
        <v>0</v>
      </c>
      <c r="G130" s="14">
        <f>Decade1!P114</f>
        <v>0</v>
      </c>
      <c r="H130" s="16">
        <f>Decade2!M100</f>
        <v>0</v>
      </c>
      <c r="I130" s="9">
        <f>Decade2!N100</f>
        <v>0</v>
      </c>
      <c r="J130" s="70">
        <f>Decade2!O100</f>
        <v>0</v>
      </c>
      <c r="K130" s="68">
        <f>Decade2!P100</f>
        <v>0</v>
      </c>
      <c r="L130" s="18">
        <f>Decade3!N98</f>
        <v>0</v>
      </c>
      <c r="M130" s="10">
        <f>Decade3!O98</f>
        <v>0</v>
      </c>
      <c r="N130" s="66">
        <f>Decade3!P98</f>
        <v>0</v>
      </c>
      <c r="O130" s="14">
        <f>Decade3!Q98</f>
        <v>0</v>
      </c>
      <c r="P130" s="17">
        <f t="shared" ref="P130:P138" si="21">SUM(D130,H130,L130)</f>
        <v>0</v>
      </c>
      <c r="Q130" s="5">
        <f t="shared" ref="Q130:Q138" si="22">SUM(E130,I130,M130)</f>
        <v>0</v>
      </c>
      <c r="R130" s="7">
        <f t="shared" ref="R130:R138" si="23">MAX(F130,J130,N130)</f>
        <v>0</v>
      </c>
      <c r="S130" s="7">
        <f t="shared" ref="S130:S138" si="24">SUM(G130,K130,O130)</f>
        <v>0</v>
      </c>
    </row>
    <row r="131" spans="2:19" ht="24.95" customHeight="1" thickBot="1" x14ac:dyDescent="0.3">
      <c r="B131" s="278"/>
      <c r="C131" s="92" t="s">
        <v>49</v>
      </c>
      <c r="D131" s="103">
        <f>Decade1!M115</f>
        <v>0</v>
      </c>
      <c r="E131" s="9">
        <f>Decade1!N115</f>
        <v>0</v>
      </c>
      <c r="F131" s="64">
        <f>Decade1!O115</f>
        <v>0</v>
      </c>
      <c r="G131" s="14">
        <f>Decade1!P115</f>
        <v>0</v>
      </c>
      <c r="H131" s="16">
        <f>Decade2!M101</f>
        <v>0</v>
      </c>
      <c r="I131" s="9">
        <f>Decade2!N101</f>
        <v>0</v>
      </c>
      <c r="J131" s="70">
        <f>Decade2!O101</f>
        <v>0</v>
      </c>
      <c r="K131" s="68">
        <f>Decade2!P101</f>
        <v>0</v>
      </c>
      <c r="L131" s="18">
        <f>Decade3!N99</f>
        <v>0</v>
      </c>
      <c r="M131" s="10">
        <f>Decade3!O99</f>
        <v>0</v>
      </c>
      <c r="N131" s="66">
        <f>Decade3!P99</f>
        <v>0</v>
      </c>
      <c r="O131" s="14">
        <f>Decade3!Q99</f>
        <v>0</v>
      </c>
      <c r="P131" s="17">
        <f t="shared" si="21"/>
        <v>0</v>
      </c>
      <c r="Q131" s="5">
        <f t="shared" si="22"/>
        <v>0</v>
      </c>
      <c r="R131" s="7">
        <f t="shared" si="23"/>
        <v>0</v>
      </c>
      <c r="S131" s="7">
        <f t="shared" si="24"/>
        <v>0</v>
      </c>
    </row>
    <row r="132" spans="2:19" ht="24.95" customHeight="1" thickBot="1" x14ac:dyDescent="0.3">
      <c r="B132" s="278"/>
      <c r="C132" s="92" t="s">
        <v>50</v>
      </c>
      <c r="D132" s="103">
        <f>Decade1!M116</f>
        <v>0</v>
      </c>
      <c r="E132" s="9">
        <f>Decade1!N116</f>
        <v>0</v>
      </c>
      <c r="F132" s="64">
        <f>Decade1!O116</f>
        <v>0</v>
      </c>
      <c r="G132" s="14">
        <f>Decade1!P116</f>
        <v>0</v>
      </c>
      <c r="H132" s="16">
        <f>Decade2!M102</f>
        <v>0</v>
      </c>
      <c r="I132" s="9">
        <f>Decade2!N102</f>
        <v>0</v>
      </c>
      <c r="J132" s="70">
        <f>Decade2!O102</f>
        <v>0</v>
      </c>
      <c r="K132" s="68">
        <f>Decade2!P102</f>
        <v>0</v>
      </c>
      <c r="L132" s="18">
        <f>Decade3!N100</f>
        <v>0</v>
      </c>
      <c r="M132" s="10">
        <f>Decade3!O100</f>
        <v>0</v>
      </c>
      <c r="N132" s="66">
        <f>Decade3!P100</f>
        <v>0</v>
      </c>
      <c r="O132" s="14">
        <f>Decade3!Q100</f>
        <v>0</v>
      </c>
      <c r="P132" s="17">
        <f t="shared" si="21"/>
        <v>0</v>
      </c>
      <c r="Q132" s="5">
        <f t="shared" si="22"/>
        <v>0</v>
      </c>
      <c r="R132" s="7">
        <f t="shared" si="23"/>
        <v>0</v>
      </c>
      <c r="S132" s="7">
        <f t="shared" si="24"/>
        <v>0</v>
      </c>
    </row>
    <row r="133" spans="2:19" ht="24.95" customHeight="1" thickBot="1" x14ac:dyDescent="0.3">
      <c r="B133" s="278"/>
      <c r="C133" s="92" t="s">
        <v>53</v>
      </c>
      <c r="D133" s="103">
        <f>Decade1!M117</f>
        <v>0</v>
      </c>
      <c r="E133" s="9">
        <f>Decade1!N117</f>
        <v>0</v>
      </c>
      <c r="F133" s="64">
        <f>Decade1!O117</f>
        <v>0</v>
      </c>
      <c r="G133" s="14">
        <f>Decade1!P117</f>
        <v>0</v>
      </c>
      <c r="H133" s="16">
        <f>Decade2!M103</f>
        <v>0</v>
      </c>
      <c r="I133" s="9">
        <f>Decade2!N103</f>
        <v>0</v>
      </c>
      <c r="J133" s="70">
        <f>Decade2!O103</f>
        <v>0</v>
      </c>
      <c r="K133" s="68">
        <f>Decade2!P103</f>
        <v>0</v>
      </c>
      <c r="L133" s="18">
        <f>Decade3!N101</f>
        <v>0</v>
      </c>
      <c r="M133" s="10">
        <f>Decade3!O101</f>
        <v>0</v>
      </c>
      <c r="N133" s="66">
        <f>Decade3!P101</f>
        <v>0</v>
      </c>
      <c r="O133" s="14">
        <f>Decade3!Q101</f>
        <v>0</v>
      </c>
      <c r="P133" s="17">
        <f t="shared" si="21"/>
        <v>0</v>
      </c>
      <c r="Q133" s="5">
        <f t="shared" si="22"/>
        <v>0</v>
      </c>
      <c r="R133" s="7">
        <f t="shared" si="23"/>
        <v>0</v>
      </c>
      <c r="S133" s="7">
        <f t="shared" si="24"/>
        <v>0</v>
      </c>
    </row>
    <row r="134" spans="2:19" ht="24.95" customHeight="1" thickBot="1" x14ac:dyDescent="0.3">
      <c r="B134" s="278"/>
      <c r="C134" s="92" t="s">
        <v>51</v>
      </c>
      <c r="D134" s="103">
        <f>Decade1!M118</f>
        <v>1</v>
      </c>
      <c r="E134" s="9">
        <f>Decade1!N118</f>
        <v>0</v>
      </c>
      <c r="F134" s="64">
        <f>Decade1!O118</f>
        <v>1.2</v>
      </c>
      <c r="G134" s="14">
        <f>Decade1!P118</f>
        <v>1.2</v>
      </c>
      <c r="H134" s="16">
        <f>Decade2!M104</f>
        <v>0</v>
      </c>
      <c r="I134" s="9">
        <f>Decade2!N104</f>
        <v>0</v>
      </c>
      <c r="J134" s="70">
        <f>Decade2!O104</f>
        <v>0</v>
      </c>
      <c r="K134" s="68">
        <f>Decade2!P104</f>
        <v>0</v>
      </c>
      <c r="L134" s="18">
        <f>Decade3!N102</f>
        <v>0</v>
      </c>
      <c r="M134" s="10">
        <f>Decade3!O102</f>
        <v>0</v>
      </c>
      <c r="N134" s="66">
        <f>Decade3!P102</f>
        <v>0</v>
      </c>
      <c r="O134" s="14">
        <f>Decade3!Q102</f>
        <v>0</v>
      </c>
      <c r="P134" s="17">
        <f t="shared" si="21"/>
        <v>1</v>
      </c>
      <c r="Q134" s="5">
        <f t="shared" si="22"/>
        <v>0</v>
      </c>
      <c r="R134" s="7">
        <f t="shared" si="23"/>
        <v>1.2</v>
      </c>
      <c r="S134" s="7">
        <f t="shared" si="24"/>
        <v>1.2</v>
      </c>
    </row>
    <row r="135" spans="2:19" ht="24.95" customHeight="1" thickBot="1" x14ac:dyDescent="0.3">
      <c r="B135" s="278"/>
      <c r="C135" s="92" t="s">
        <v>57</v>
      </c>
      <c r="D135" s="103">
        <f>Decade1!M119</f>
        <v>2</v>
      </c>
      <c r="E135" s="9">
        <f>Decade1!N119</f>
        <v>0</v>
      </c>
      <c r="F135" s="64">
        <f>Decade1!O119</f>
        <v>4.2</v>
      </c>
      <c r="G135" s="14">
        <f>Decade1!P119</f>
        <v>4.4000000000000004</v>
      </c>
      <c r="H135" s="16">
        <f>Decade2!M105</f>
        <v>1</v>
      </c>
      <c r="I135" s="9">
        <f>Decade2!N105</f>
        <v>0</v>
      </c>
      <c r="J135" s="70">
        <f>Decade2!O105</f>
        <v>0.5</v>
      </c>
      <c r="K135" s="68">
        <f>Decade2!P105</f>
        <v>0.5</v>
      </c>
      <c r="L135" s="18">
        <f>Decade3!N103</f>
        <v>0</v>
      </c>
      <c r="M135" s="10">
        <f>Decade3!O103</f>
        <v>0</v>
      </c>
      <c r="N135" s="66">
        <f>Decade3!P103</f>
        <v>0</v>
      </c>
      <c r="O135" s="14">
        <f>Decade3!Q103</f>
        <v>0</v>
      </c>
      <c r="P135" s="17">
        <f t="shared" si="21"/>
        <v>3</v>
      </c>
      <c r="Q135" s="5">
        <f t="shared" si="22"/>
        <v>0</v>
      </c>
      <c r="R135" s="7">
        <f t="shared" si="23"/>
        <v>4.2</v>
      </c>
      <c r="S135" s="7">
        <f t="shared" si="24"/>
        <v>4.9000000000000004</v>
      </c>
    </row>
    <row r="136" spans="2:19" ht="24.95" customHeight="1" thickBot="1" x14ac:dyDescent="0.3">
      <c r="B136" s="278"/>
      <c r="C136" s="92" t="s">
        <v>56</v>
      </c>
      <c r="D136" s="103">
        <f>Decade1!M120</f>
        <v>0</v>
      </c>
      <c r="E136" s="9">
        <f>Decade1!N120</f>
        <v>0</v>
      </c>
      <c r="F136" s="64">
        <f>Decade1!O120</f>
        <v>0</v>
      </c>
      <c r="G136" s="14">
        <f>Decade1!P120</f>
        <v>0</v>
      </c>
      <c r="H136" s="16">
        <f>Decade2!M106</f>
        <v>0</v>
      </c>
      <c r="I136" s="9">
        <f>Decade2!N106</f>
        <v>0</v>
      </c>
      <c r="J136" s="70">
        <f>Decade2!O106</f>
        <v>0</v>
      </c>
      <c r="K136" s="68">
        <f>Decade2!P106</f>
        <v>0</v>
      </c>
      <c r="L136" s="18">
        <f>Decade3!N104</f>
        <v>0</v>
      </c>
      <c r="M136" s="10">
        <f>Decade3!O104</f>
        <v>0</v>
      </c>
      <c r="N136" s="66">
        <f>Decade3!P104</f>
        <v>0</v>
      </c>
      <c r="O136" s="14">
        <f>Decade3!Q104</f>
        <v>0</v>
      </c>
      <c r="P136" s="17">
        <f>SUM(D136,H136,L136)</f>
        <v>0</v>
      </c>
      <c r="Q136" s="5">
        <f>SUM(E136,I136,M136)</f>
        <v>0</v>
      </c>
      <c r="R136" s="7">
        <f>MAX(F136,J136,N136)</f>
        <v>0</v>
      </c>
      <c r="S136" s="7">
        <f>SUM(G136,K136,O136)</f>
        <v>0</v>
      </c>
    </row>
    <row r="137" spans="2:19" ht="24.95" customHeight="1" thickBot="1" x14ac:dyDescent="0.3">
      <c r="B137" s="278"/>
      <c r="C137" s="92" t="s">
        <v>52</v>
      </c>
      <c r="D137" s="103">
        <f>Decade1!M121</f>
        <v>1</v>
      </c>
      <c r="E137" s="9">
        <f>Decade1!N121</f>
        <v>0</v>
      </c>
      <c r="F137" s="64">
        <f>Decade1!O121</f>
        <v>4.0999999999999996</v>
      </c>
      <c r="G137" s="14">
        <f>Decade1!P121</f>
        <v>4.0999999999999996</v>
      </c>
      <c r="H137" s="16">
        <f>Decade2!M107</f>
        <v>0</v>
      </c>
      <c r="I137" s="9">
        <f>Decade2!N107</f>
        <v>0</v>
      </c>
      <c r="J137" s="70">
        <f>Decade2!O107</f>
        <v>0</v>
      </c>
      <c r="K137" s="68">
        <f>Decade2!P107</f>
        <v>0</v>
      </c>
      <c r="L137" s="18">
        <f>Decade3!N105</f>
        <v>0</v>
      </c>
      <c r="M137" s="10">
        <f>Decade3!O105</f>
        <v>0</v>
      </c>
      <c r="N137" s="66">
        <f>Decade3!P105</f>
        <v>0</v>
      </c>
      <c r="O137" s="14">
        <f>Decade3!Q105</f>
        <v>0</v>
      </c>
      <c r="P137" s="17">
        <f t="shared" si="21"/>
        <v>1</v>
      </c>
      <c r="Q137" s="5">
        <f t="shared" si="22"/>
        <v>0</v>
      </c>
      <c r="R137" s="7">
        <f t="shared" si="23"/>
        <v>4.0999999999999996</v>
      </c>
      <c r="S137" s="7">
        <f t="shared" si="24"/>
        <v>4.0999999999999996</v>
      </c>
    </row>
    <row r="138" spans="2:19" ht="24.95" customHeight="1" thickBot="1" x14ac:dyDescent="0.3">
      <c r="B138" s="278"/>
      <c r="C138" s="92" t="s">
        <v>54</v>
      </c>
      <c r="D138" s="103">
        <f>Decade1!M122</f>
        <v>1</v>
      </c>
      <c r="E138" s="9">
        <f>Decade1!N122</f>
        <v>0</v>
      </c>
      <c r="F138" s="64">
        <f>Decade1!O122</f>
        <v>0.2</v>
      </c>
      <c r="G138" s="14">
        <f>Decade1!P122</f>
        <v>0.2</v>
      </c>
      <c r="H138" s="16">
        <f>Decade2!M108</f>
        <v>1</v>
      </c>
      <c r="I138" s="9">
        <f>Decade2!N108</f>
        <v>0</v>
      </c>
      <c r="J138" s="70">
        <f>Decade2!O108</f>
        <v>0.5</v>
      </c>
      <c r="K138" s="68">
        <f>Decade2!P108</f>
        <v>0.5</v>
      </c>
      <c r="L138" s="18">
        <f>Decade3!N106</f>
        <v>0</v>
      </c>
      <c r="M138" s="10">
        <f>Decade3!O106</f>
        <v>0</v>
      </c>
      <c r="N138" s="66">
        <f>Decade3!P106</f>
        <v>0</v>
      </c>
      <c r="O138" s="14">
        <f>Decade3!Q106</f>
        <v>0</v>
      </c>
      <c r="P138" s="17">
        <f t="shared" si="21"/>
        <v>2</v>
      </c>
      <c r="Q138" s="5">
        <f t="shared" si="22"/>
        <v>0</v>
      </c>
      <c r="R138" s="7">
        <f t="shared" si="23"/>
        <v>0.5</v>
      </c>
      <c r="S138" s="7">
        <f t="shared" si="24"/>
        <v>0.7</v>
      </c>
    </row>
    <row r="139" spans="2:19" ht="24.95" customHeight="1" thickBot="1" x14ac:dyDescent="0.3">
      <c r="B139" s="278"/>
      <c r="C139" s="92" t="s">
        <v>55</v>
      </c>
      <c r="D139" s="103">
        <f>Decade1!M123</f>
        <v>0</v>
      </c>
      <c r="E139" s="9">
        <f>Decade1!N123</f>
        <v>0</v>
      </c>
      <c r="F139" s="64">
        <f>Decade1!O123</f>
        <v>0</v>
      </c>
      <c r="G139" s="14">
        <f>Decade1!P123</f>
        <v>0</v>
      </c>
      <c r="H139" s="16">
        <f>Decade2!M109</f>
        <v>0</v>
      </c>
      <c r="I139" s="9">
        <f>Decade2!N109</f>
        <v>0</v>
      </c>
      <c r="J139" s="70">
        <f>Decade2!O109</f>
        <v>0</v>
      </c>
      <c r="K139" s="68">
        <f>Decade2!P109</f>
        <v>0</v>
      </c>
      <c r="L139" s="18">
        <f>Decade3!N107</f>
        <v>0</v>
      </c>
      <c r="M139" s="10">
        <f>Decade3!O107</f>
        <v>0</v>
      </c>
      <c r="N139" s="66">
        <f>Decade3!P107</f>
        <v>0</v>
      </c>
      <c r="O139" s="14">
        <f>Decade3!Q107</f>
        <v>0</v>
      </c>
      <c r="P139" s="17">
        <f t="shared" ref="P139:Q141" si="25">SUM(D139,H139,L139)</f>
        <v>0</v>
      </c>
      <c r="Q139" s="5">
        <f t="shared" si="25"/>
        <v>0</v>
      </c>
      <c r="R139" s="7">
        <f>MAX(F139,J139,N139)</f>
        <v>0</v>
      </c>
      <c r="S139" s="7">
        <f>SUM(G139,K139,O139)</f>
        <v>0</v>
      </c>
    </row>
    <row r="140" spans="2:19" ht="24.95" customHeight="1" thickBot="1" x14ac:dyDescent="0.3">
      <c r="B140" s="278"/>
      <c r="C140" s="3" t="s">
        <v>154</v>
      </c>
      <c r="D140" s="103">
        <f>Decade1!M124</f>
        <v>0</v>
      </c>
      <c r="E140" s="9">
        <f>Decade1!N124</f>
        <v>0</v>
      </c>
      <c r="F140" s="64">
        <f>Decade1!O124</f>
        <v>0</v>
      </c>
      <c r="G140" s="14">
        <f>Decade1!P124</f>
        <v>0</v>
      </c>
      <c r="H140" s="16">
        <f>Decade2!M110</f>
        <v>0</v>
      </c>
      <c r="I140" s="9">
        <f>Decade2!N110</f>
        <v>0</v>
      </c>
      <c r="J140" s="70">
        <f>Decade2!O110</f>
        <v>0</v>
      </c>
      <c r="K140" s="68">
        <f>Decade2!P110</f>
        <v>0</v>
      </c>
      <c r="L140" s="18">
        <f>Decade3!N108</f>
        <v>0</v>
      </c>
      <c r="M140" s="10">
        <f>Decade3!O108</f>
        <v>0</v>
      </c>
      <c r="N140" s="66">
        <f>Decade3!P108</f>
        <v>0</v>
      </c>
      <c r="O140" s="14">
        <f>Decade3!Q108</f>
        <v>0</v>
      </c>
      <c r="P140" s="17">
        <f t="shared" si="25"/>
        <v>0</v>
      </c>
      <c r="Q140" s="5">
        <f t="shared" si="25"/>
        <v>0</v>
      </c>
      <c r="R140" s="7">
        <f>MAX(F140,J140,N140)</f>
        <v>0</v>
      </c>
      <c r="S140" s="7">
        <f>SUM(G140,K140,O140)</f>
        <v>0</v>
      </c>
    </row>
    <row r="141" spans="2:19" ht="24.95" customHeight="1" thickBot="1" x14ac:dyDescent="0.3">
      <c r="B141" s="279"/>
      <c r="C141" s="3" t="s">
        <v>155</v>
      </c>
      <c r="D141" s="103">
        <f>Decade1!M125</f>
        <v>0</v>
      </c>
      <c r="E141" s="9">
        <f>Decade1!N125</f>
        <v>0</v>
      </c>
      <c r="F141" s="64">
        <f>Decade1!O125</f>
        <v>0</v>
      </c>
      <c r="G141" s="14">
        <f>Decade1!P125</f>
        <v>0</v>
      </c>
      <c r="H141" s="16">
        <f>Decade2!M111</f>
        <v>0</v>
      </c>
      <c r="I141" s="9">
        <f>Decade2!N111</f>
        <v>0</v>
      </c>
      <c r="J141" s="70">
        <f>Decade2!O111</f>
        <v>0</v>
      </c>
      <c r="K141" s="68">
        <f>Decade2!P111</f>
        <v>0</v>
      </c>
      <c r="L141" s="18">
        <f>Decade3!N109</f>
        <v>0</v>
      </c>
      <c r="M141" s="10">
        <f>Decade3!O109</f>
        <v>0</v>
      </c>
      <c r="N141" s="66">
        <f>Decade3!P109</f>
        <v>0</v>
      </c>
      <c r="O141" s="14">
        <f>Decade3!Q109</f>
        <v>0</v>
      </c>
      <c r="P141" s="17">
        <f t="shared" si="25"/>
        <v>0</v>
      </c>
      <c r="Q141" s="5">
        <f t="shared" si="25"/>
        <v>0</v>
      </c>
      <c r="R141" s="7">
        <f>MAX(F141,J141,N141)</f>
        <v>0</v>
      </c>
      <c r="S141" s="7">
        <f>SUM(G141,K141,O141)</f>
        <v>0</v>
      </c>
    </row>
    <row r="144" spans="2:19" ht="20.100000000000001" customHeight="1" x14ac:dyDescent="0.25">
      <c r="B144" s="239" t="s">
        <v>95</v>
      </c>
      <c r="C144" s="239"/>
      <c r="D144" s="239"/>
      <c r="E144" s="239"/>
      <c r="F144" s="239"/>
      <c r="G144" s="239"/>
      <c r="H144" s="239"/>
      <c r="I144" s="239"/>
      <c r="J144" s="239"/>
      <c r="K144" s="239"/>
      <c r="L144" s="239"/>
      <c r="M144" s="239"/>
      <c r="N144" s="239"/>
      <c r="O144" s="239"/>
      <c r="P144" s="239"/>
      <c r="Q144" s="239"/>
      <c r="R144" s="239"/>
      <c r="S144" s="239"/>
    </row>
    <row r="145" spans="2:19" ht="20.100000000000001" customHeight="1" x14ac:dyDescent="0.25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</row>
    <row r="146" spans="2:19" ht="20.100000000000001" customHeight="1" x14ac:dyDescent="0.25"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</row>
    <row r="147" spans="2:19" ht="20.100000000000001" customHeight="1" x14ac:dyDescent="0.25"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</row>
    <row r="148" spans="2:19" ht="20.100000000000001" customHeight="1" x14ac:dyDescent="0.25"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</row>
    <row r="149" spans="2:19" ht="20.100000000000001" customHeight="1" x14ac:dyDescent="0.25"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</row>
    <row r="150" spans="2:19" ht="20.100000000000001" customHeight="1" x14ac:dyDescent="0.25">
      <c r="B150" s="56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</row>
    <row r="151" spans="2:19" ht="28.5" customHeight="1" x14ac:dyDescent="0.25">
      <c r="B151" s="49" t="s">
        <v>100</v>
      </c>
      <c r="F151"/>
      <c r="J151"/>
      <c r="N151"/>
    </row>
    <row r="152" spans="2:19" ht="18" customHeight="1" x14ac:dyDescent="0.25">
      <c r="B152" s="49" t="s">
        <v>101</v>
      </c>
      <c r="F152"/>
      <c r="J152"/>
      <c r="N152"/>
    </row>
    <row r="153" spans="2:19" s="76" customFormat="1" ht="20.25" customHeight="1" thickBot="1" x14ac:dyDescent="0.3">
      <c r="B153" s="75" t="s">
        <v>102</v>
      </c>
    </row>
    <row r="154" spans="2:19" ht="20.100000000000001" customHeight="1" thickBot="1" x14ac:dyDescent="0.3">
      <c r="B154" s="277" t="s">
        <v>1</v>
      </c>
      <c r="C154" s="277" t="s">
        <v>2</v>
      </c>
      <c r="D154" s="233" t="str">
        <f>D35</f>
        <v>CUMUL PLUVIOMETRIQUE MENSUEL:  AOUT 2024</v>
      </c>
      <c r="E154" s="234"/>
      <c r="F154" s="234"/>
      <c r="G154" s="234"/>
      <c r="H154" s="234"/>
      <c r="I154" s="234"/>
      <c r="J154" s="234"/>
      <c r="K154" s="234"/>
      <c r="L154" s="234"/>
      <c r="M154" s="234"/>
      <c r="N154" s="234"/>
      <c r="O154" s="234"/>
      <c r="P154" s="234"/>
      <c r="Q154" s="234"/>
      <c r="R154" s="234"/>
      <c r="S154" s="235"/>
    </row>
    <row r="155" spans="2:19" ht="20.100000000000001" customHeight="1" thickBot="1" x14ac:dyDescent="0.3">
      <c r="B155" s="278"/>
      <c r="C155" s="278"/>
      <c r="D155" s="285" t="s">
        <v>86</v>
      </c>
      <c r="E155" s="286"/>
      <c r="F155" s="286"/>
      <c r="G155" s="287"/>
      <c r="H155" s="288" t="s">
        <v>87</v>
      </c>
      <c r="I155" s="286"/>
      <c r="J155" s="286"/>
      <c r="K155" s="287"/>
      <c r="L155" s="288" t="s">
        <v>88</v>
      </c>
      <c r="M155" s="286"/>
      <c r="N155" s="286"/>
      <c r="O155" s="287"/>
      <c r="P155" s="280" t="s">
        <v>0</v>
      </c>
      <c r="Q155" s="280"/>
      <c r="R155" s="280"/>
      <c r="S155" s="281"/>
    </row>
    <row r="156" spans="2:19" ht="22.5" customHeight="1" thickBot="1" x14ac:dyDescent="0.3">
      <c r="B156" s="278"/>
      <c r="C156" s="279"/>
      <c r="D156" s="8" t="s">
        <v>89</v>
      </c>
      <c r="E156" s="8" t="s">
        <v>90</v>
      </c>
      <c r="F156" s="63" t="s">
        <v>106</v>
      </c>
      <c r="G156" s="12" t="s">
        <v>92</v>
      </c>
      <c r="H156" s="15" t="s">
        <v>89</v>
      </c>
      <c r="I156" s="8" t="s">
        <v>91</v>
      </c>
      <c r="J156" s="63" t="s">
        <v>106</v>
      </c>
      <c r="K156" s="12" t="s">
        <v>92</v>
      </c>
      <c r="L156" s="15" t="s">
        <v>89</v>
      </c>
      <c r="M156" s="8" t="s">
        <v>91</v>
      </c>
      <c r="N156" s="63" t="s">
        <v>106</v>
      </c>
      <c r="O156" s="12" t="s">
        <v>92</v>
      </c>
      <c r="P156" s="11" t="s">
        <v>89</v>
      </c>
      <c r="Q156" s="8" t="s">
        <v>91</v>
      </c>
      <c r="R156" s="8" t="s">
        <v>106</v>
      </c>
      <c r="S156" s="8" t="s">
        <v>92</v>
      </c>
    </row>
    <row r="157" spans="2:19" ht="20.100000000000001" customHeight="1" thickBot="1" x14ac:dyDescent="0.3">
      <c r="B157" s="277" t="s">
        <v>82</v>
      </c>
      <c r="C157" s="35" t="s">
        <v>58</v>
      </c>
      <c r="D157" s="36">
        <f>Decade1!M139</f>
        <v>1</v>
      </c>
      <c r="E157" s="37">
        <f>Decade1!N139</f>
        <v>1</v>
      </c>
      <c r="F157" s="64">
        <f>Decade1!O139</f>
        <v>24.6</v>
      </c>
      <c r="G157" s="38">
        <f>Decade1!P139</f>
        <v>24.6</v>
      </c>
      <c r="H157" s="39">
        <f>Decade2!M117</f>
        <v>3</v>
      </c>
      <c r="I157" s="37">
        <f>Decade2!N117</f>
        <v>0</v>
      </c>
      <c r="J157" s="70">
        <f>Decade2!O117</f>
        <v>15.6</v>
      </c>
      <c r="K157" s="71">
        <f>Decade2!P117</f>
        <v>17.899999999999999</v>
      </c>
      <c r="L157" s="40">
        <f>Decade3!N115</f>
        <v>0</v>
      </c>
      <c r="M157" s="41">
        <f>Decade3!O115</f>
        <v>0</v>
      </c>
      <c r="N157" s="66">
        <f>Decade3!P115</f>
        <v>0</v>
      </c>
      <c r="O157" s="38">
        <f>Decade3!Q115</f>
        <v>0</v>
      </c>
      <c r="P157" s="17">
        <f>SUM(D157,H157,L157)</f>
        <v>4</v>
      </c>
      <c r="Q157" s="5">
        <f>SUM(E157,I157,M157)</f>
        <v>1</v>
      </c>
      <c r="R157" s="7">
        <f>MAX(F157,J157,N157)</f>
        <v>24.6</v>
      </c>
      <c r="S157" s="7">
        <f>SUM(G157,K157,O157)</f>
        <v>42.5</v>
      </c>
    </row>
    <row r="158" spans="2:19" ht="20.100000000000001" customHeight="1" thickBot="1" x14ac:dyDescent="0.3">
      <c r="B158" s="278"/>
      <c r="C158" s="4" t="s">
        <v>66</v>
      </c>
      <c r="D158" s="36">
        <f>Decade1!M140</f>
        <v>3</v>
      </c>
      <c r="E158" s="37">
        <f>Decade1!N140</f>
        <v>1</v>
      </c>
      <c r="F158" s="64">
        <f>Decade1!O140</f>
        <v>23.2</v>
      </c>
      <c r="G158" s="38">
        <f>Decade1!P140</f>
        <v>29.3</v>
      </c>
      <c r="H158" s="39">
        <f>Decade2!M118</f>
        <v>1</v>
      </c>
      <c r="I158" s="37">
        <f>Decade2!N118</f>
        <v>0</v>
      </c>
      <c r="J158" s="70">
        <f>Decade2!O118</f>
        <v>1.5</v>
      </c>
      <c r="K158" s="71">
        <f>Decade2!P118</f>
        <v>1.5</v>
      </c>
      <c r="L158" s="40">
        <f>Decade3!N116</f>
        <v>0</v>
      </c>
      <c r="M158" s="41">
        <f>Decade3!O116</f>
        <v>0</v>
      </c>
      <c r="N158" s="66">
        <f>Decade3!P116</f>
        <v>0</v>
      </c>
      <c r="O158" s="38">
        <f>Decade3!Q116</f>
        <v>0</v>
      </c>
      <c r="P158" s="17">
        <f t="shared" ref="P158:P184" si="26">SUM(D158,H158,L158)</f>
        <v>4</v>
      </c>
      <c r="Q158" s="5">
        <f t="shared" ref="Q158:Q184" si="27">SUM(E158,I158,M158)</f>
        <v>1</v>
      </c>
      <c r="R158" s="7">
        <f t="shared" ref="R158:R184" si="28">MAX(F158,J158,N158)</f>
        <v>23.2</v>
      </c>
      <c r="S158" s="7">
        <f t="shared" ref="S158:S184" si="29">SUM(G158,K158,O158)</f>
        <v>30.8</v>
      </c>
    </row>
    <row r="159" spans="2:19" ht="18" customHeight="1" thickBot="1" x14ac:dyDescent="0.3">
      <c r="B159" s="278"/>
      <c r="C159" s="27" t="s">
        <v>60</v>
      </c>
      <c r="D159" s="36">
        <f>Decade1!M141</f>
        <v>3</v>
      </c>
      <c r="E159" s="37">
        <f>Decade1!N141</f>
        <v>1</v>
      </c>
      <c r="F159" s="64">
        <f>Decade1!O141</f>
        <v>20.100000000000001</v>
      </c>
      <c r="G159" s="38">
        <f>Decade1!P141</f>
        <v>38</v>
      </c>
      <c r="H159" s="39">
        <f>Decade2!M119</f>
        <v>1</v>
      </c>
      <c r="I159" s="37">
        <f>Decade2!N119</f>
        <v>0</v>
      </c>
      <c r="J159" s="70">
        <f>Decade2!O119</f>
        <v>4.5999999999999996</v>
      </c>
      <c r="K159" s="71">
        <f>Decade2!P119</f>
        <v>4.5999999999999996</v>
      </c>
      <c r="L159" s="40">
        <f>Decade3!N117</f>
        <v>0</v>
      </c>
      <c r="M159" s="41">
        <f>Decade3!O117</f>
        <v>0</v>
      </c>
      <c r="N159" s="66">
        <f>Decade3!P117</f>
        <v>0</v>
      </c>
      <c r="O159" s="38">
        <f>Decade3!Q117</f>
        <v>0</v>
      </c>
      <c r="P159" s="17">
        <f t="shared" si="26"/>
        <v>4</v>
      </c>
      <c r="Q159" s="5">
        <f t="shared" si="27"/>
        <v>1</v>
      </c>
      <c r="R159" s="7">
        <f t="shared" si="28"/>
        <v>20.100000000000001</v>
      </c>
      <c r="S159" s="7">
        <f t="shared" si="29"/>
        <v>42.6</v>
      </c>
    </row>
    <row r="160" spans="2:19" ht="20.100000000000001" customHeight="1" thickBot="1" x14ac:dyDescent="0.3">
      <c r="B160" s="278"/>
      <c r="C160" s="126" t="s">
        <v>63</v>
      </c>
      <c r="D160" s="36">
        <f>Decade1!M142</f>
        <v>2</v>
      </c>
      <c r="E160" s="37">
        <f>Decade1!N142</f>
        <v>0</v>
      </c>
      <c r="F160" s="64">
        <f>Decade1!O142</f>
        <v>16.5</v>
      </c>
      <c r="G160" s="38">
        <f>Decade1!P142</f>
        <v>19.3</v>
      </c>
      <c r="H160" s="39">
        <f>Decade2!M120</f>
        <v>2</v>
      </c>
      <c r="I160" s="37">
        <f>Decade2!N120</f>
        <v>0</v>
      </c>
      <c r="J160" s="70">
        <f>Decade2!O120</f>
        <v>5</v>
      </c>
      <c r="K160" s="71">
        <f>Decade2!P120</f>
        <v>9.5</v>
      </c>
      <c r="L160" s="40">
        <f>Decade3!N118</f>
        <v>0</v>
      </c>
      <c r="M160" s="41">
        <f>Decade3!O118</f>
        <v>0</v>
      </c>
      <c r="N160" s="66">
        <f>Decade3!P118</f>
        <v>0</v>
      </c>
      <c r="O160" s="38">
        <f>Decade3!Q118</f>
        <v>0</v>
      </c>
      <c r="P160" s="17">
        <f t="shared" si="26"/>
        <v>4</v>
      </c>
      <c r="Q160" s="5">
        <f t="shared" si="27"/>
        <v>0</v>
      </c>
      <c r="R160" s="7">
        <f t="shared" si="28"/>
        <v>16.5</v>
      </c>
      <c r="S160" s="7">
        <f t="shared" si="29"/>
        <v>28.8</v>
      </c>
    </row>
    <row r="161" spans="2:19" ht="20.100000000000001" customHeight="1" thickBot="1" x14ac:dyDescent="0.3">
      <c r="B161" s="278"/>
      <c r="C161" s="126" t="s">
        <v>72</v>
      </c>
      <c r="D161" s="36">
        <f>Decade1!M143</f>
        <v>3</v>
      </c>
      <c r="E161" s="37">
        <f>Decade1!N143</f>
        <v>0</v>
      </c>
      <c r="F161" s="64">
        <f>Decade1!O143</f>
        <v>9.4</v>
      </c>
      <c r="G161" s="38">
        <f>Decade1!P143</f>
        <v>12.9</v>
      </c>
      <c r="H161" s="39">
        <f>Decade2!M121</f>
        <v>0</v>
      </c>
      <c r="I161" s="37">
        <f>Decade2!N121</f>
        <v>0</v>
      </c>
      <c r="J161" s="70">
        <f>Decade2!O121</f>
        <v>0</v>
      </c>
      <c r="K161" s="71">
        <f>Decade2!P121</f>
        <v>0</v>
      </c>
      <c r="L161" s="40">
        <f>Decade3!N119</f>
        <v>0</v>
      </c>
      <c r="M161" s="41">
        <f>Decade3!O119</f>
        <v>0</v>
      </c>
      <c r="N161" s="66">
        <f>Decade3!P119</f>
        <v>0</v>
      </c>
      <c r="O161" s="38">
        <f>Decade3!Q119</f>
        <v>0</v>
      </c>
      <c r="P161" s="17">
        <f t="shared" si="26"/>
        <v>3</v>
      </c>
      <c r="Q161" s="5">
        <f t="shared" si="27"/>
        <v>0</v>
      </c>
      <c r="R161" s="7">
        <f t="shared" si="28"/>
        <v>9.4</v>
      </c>
      <c r="S161" s="7">
        <f t="shared" si="29"/>
        <v>12.9</v>
      </c>
    </row>
    <row r="162" spans="2:19" ht="20.100000000000001" customHeight="1" thickBot="1" x14ac:dyDescent="0.3">
      <c r="B162" s="278"/>
      <c r="C162" s="3" t="s">
        <v>77</v>
      </c>
      <c r="D162" s="36">
        <f>Decade1!M144</f>
        <v>3</v>
      </c>
      <c r="E162" s="37">
        <f>Decade1!N144</f>
        <v>0</v>
      </c>
      <c r="F162" s="64">
        <f>Decade1!O144</f>
        <v>12.6</v>
      </c>
      <c r="G162" s="38">
        <f>Decade1!P144</f>
        <v>27.799999999999997</v>
      </c>
      <c r="H162" s="39">
        <f>Decade2!M122</f>
        <v>0</v>
      </c>
      <c r="I162" s="37">
        <f>Decade2!N122</f>
        <v>0</v>
      </c>
      <c r="J162" s="70">
        <f>Decade2!O122</f>
        <v>0</v>
      </c>
      <c r="K162" s="71">
        <f>Decade2!P122</f>
        <v>0</v>
      </c>
      <c r="L162" s="40">
        <f>Decade3!N120</f>
        <v>0</v>
      </c>
      <c r="M162" s="41">
        <f>Decade3!O120</f>
        <v>0</v>
      </c>
      <c r="N162" s="66">
        <f>Decade3!P120</f>
        <v>0</v>
      </c>
      <c r="O162" s="38">
        <f>Decade3!Q120</f>
        <v>0</v>
      </c>
      <c r="P162" s="17">
        <f t="shared" si="26"/>
        <v>3</v>
      </c>
      <c r="Q162" s="5">
        <f t="shared" si="27"/>
        <v>0</v>
      </c>
      <c r="R162" s="7">
        <f t="shared" si="28"/>
        <v>12.6</v>
      </c>
      <c r="S162" s="7">
        <f t="shared" si="29"/>
        <v>27.799999999999997</v>
      </c>
    </row>
    <row r="163" spans="2:19" ht="16.5" customHeight="1" thickBot="1" x14ac:dyDescent="0.3">
      <c r="B163" s="278"/>
      <c r="C163" s="3" t="s">
        <v>76</v>
      </c>
      <c r="D163" s="36">
        <f>Decade1!M145</f>
        <v>3</v>
      </c>
      <c r="E163" s="37">
        <f>Decade1!N145</f>
        <v>2</v>
      </c>
      <c r="F163" s="64">
        <f>Decade1!O145</f>
        <v>25.9</v>
      </c>
      <c r="G163" s="38">
        <f>Decade1!P145</f>
        <v>48.7</v>
      </c>
      <c r="H163" s="39">
        <f>Decade2!M123</f>
        <v>2</v>
      </c>
      <c r="I163" s="37">
        <f>Decade2!N123</f>
        <v>0</v>
      </c>
      <c r="J163" s="70">
        <f>Decade2!O123</f>
        <v>1.3</v>
      </c>
      <c r="K163" s="71">
        <f>Decade2!P123</f>
        <v>1.9</v>
      </c>
      <c r="L163" s="40">
        <f>Decade3!N121</f>
        <v>0</v>
      </c>
      <c r="M163" s="41">
        <f>Decade3!O121</f>
        <v>0</v>
      </c>
      <c r="N163" s="66">
        <f>Decade3!P121</f>
        <v>0</v>
      </c>
      <c r="O163" s="38">
        <f>Decade3!Q121</f>
        <v>0</v>
      </c>
      <c r="P163" s="17">
        <f t="shared" si="26"/>
        <v>5</v>
      </c>
      <c r="Q163" s="5">
        <f t="shared" si="27"/>
        <v>2</v>
      </c>
      <c r="R163" s="7">
        <f t="shared" si="28"/>
        <v>25.9</v>
      </c>
      <c r="S163" s="7">
        <f t="shared" si="29"/>
        <v>50.6</v>
      </c>
    </row>
    <row r="164" spans="2:19" ht="16.5" customHeight="1" thickBot="1" x14ac:dyDescent="0.3">
      <c r="B164" s="278"/>
      <c r="C164" s="3" t="s">
        <v>69</v>
      </c>
      <c r="D164" s="36">
        <f>Decade1!M146</f>
        <v>5</v>
      </c>
      <c r="E164" s="37">
        <f>Decade1!N146</f>
        <v>0</v>
      </c>
      <c r="F164" s="64">
        <f>Decade1!O146</f>
        <v>18.8</v>
      </c>
      <c r="G164" s="38">
        <f>Decade1!P146</f>
        <v>46.199999999999996</v>
      </c>
      <c r="H164" s="39">
        <f>Decade2!M124</f>
        <v>2</v>
      </c>
      <c r="I164" s="37">
        <f>Decade2!N124</f>
        <v>0</v>
      </c>
      <c r="J164" s="70">
        <f>Decade2!O124</f>
        <v>12.8</v>
      </c>
      <c r="K164" s="71">
        <f>Decade2!P124</f>
        <v>19.600000000000001</v>
      </c>
      <c r="L164" s="40">
        <f>Decade3!N122</f>
        <v>1</v>
      </c>
      <c r="M164" s="41">
        <f>Decade3!O122</f>
        <v>0</v>
      </c>
      <c r="N164" s="66">
        <f>Decade3!P122</f>
        <v>11.6</v>
      </c>
      <c r="O164" s="38">
        <f>Decade3!Q122</f>
        <v>11.6</v>
      </c>
      <c r="P164" s="17">
        <f t="shared" si="26"/>
        <v>8</v>
      </c>
      <c r="Q164" s="5">
        <f t="shared" si="27"/>
        <v>0</v>
      </c>
      <c r="R164" s="7">
        <f t="shared" si="28"/>
        <v>18.8</v>
      </c>
      <c r="S164" s="7">
        <f t="shared" si="29"/>
        <v>77.399999999999991</v>
      </c>
    </row>
    <row r="165" spans="2:19" ht="16.5" customHeight="1" thickBot="1" x14ac:dyDescent="0.3">
      <c r="B165" s="278"/>
      <c r="C165" s="3" t="s">
        <v>61</v>
      </c>
      <c r="D165" s="36">
        <f>Decade1!M147</f>
        <v>1</v>
      </c>
      <c r="E165" s="37">
        <f>Decade1!N147</f>
        <v>1</v>
      </c>
      <c r="F165" s="64">
        <f>Decade1!O147</f>
        <v>40</v>
      </c>
      <c r="G165" s="38">
        <f>Decade1!P147</f>
        <v>40</v>
      </c>
      <c r="H165" s="39">
        <f>Decade2!M125</f>
        <v>0</v>
      </c>
      <c r="I165" s="37">
        <f>Decade2!N125</f>
        <v>0</v>
      </c>
      <c r="J165" s="70">
        <f>Decade2!O125</f>
        <v>0</v>
      </c>
      <c r="K165" s="71">
        <f>Decade2!P125</f>
        <v>0</v>
      </c>
      <c r="L165" s="40">
        <f>Decade3!N123</f>
        <v>0</v>
      </c>
      <c r="M165" s="41">
        <f>Decade3!O123</f>
        <v>0</v>
      </c>
      <c r="N165" s="66">
        <f>Decade3!P123</f>
        <v>0</v>
      </c>
      <c r="O165" s="38">
        <f>Decade3!Q123</f>
        <v>0</v>
      </c>
      <c r="P165" s="17">
        <f t="shared" si="26"/>
        <v>1</v>
      </c>
      <c r="Q165" s="5">
        <f t="shared" si="27"/>
        <v>1</v>
      </c>
      <c r="R165" s="7">
        <f t="shared" si="28"/>
        <v>40</v>
      </c>
      <c r="S165" s="7">
        <f t="shared" si="29"/>
        <v>40</v>
      </c>
    </row>
    <row r="166" spans="2:19" ht="20.100000000000001" customHeight="1" thickBot="1" x14ac:dyDescent="0.3">
      <c r="B166" s="278"/>
      <c r="C166" s="123" t="s">
        <v>65</v>
      </c>
      <c r="D166" s="36">
        <f>Decade1!M148</f>
        <v>1</v>
      </c>
      <c r="E166" s="37">
        <f>Decade1!N148</f>
        <v>0</v>
      </c>
      <c r="F166" s="64">
        <f>Decade1!O148</f>
        <v>2.4</v>
      </c>
      <c r="G166" s="38">
        <f>Decade1!P148</f>
        <v>2.4</v>
      </c>
      <c r="H166" s="39">
        <f>Decade2!M126</f>
        <v>0</v>
      </c>
      <c r="I166" s="37">
        <f>Decade2!N126</f>
        <v>0</v>
      </c>
      <c r="J166" s="70">
        <f>Decade2!O126</f>
        <v>0</v>
      </c>
      <c r="K166" s="71">
        <f>Decade2!P126</f>
        <v>0</v>
      </c>
      <c r="L166" s="40">
        <f>Decade3!N124</f>
        <v>0</v>
      </c>
      <c r="M166" s="41">
        <f>Decade3!O124</f>
        <v>0</v>
      </c>
      <c r="N166" s="66">
        <f>Decade3!P124</f>
        <v>0</v>
      </c>
      <c r="O166" s="38">
        <f>Decade3!Q124</f>
        <v>0</v>
      </c>
      <c r="P166" s="17">
        <f t="shared" si="26"/>
        <v>1</v>
      </c>
      <c r="Q166" s="5">
        <f t="shared" si="27"/>
        <v>0</v>
      </c>
      <c r="R166" s="7">
        <f t="shared" si="28"/>
        <v>2.4</v>
      </c>
      <c r="S166" s="7">
        <f t="shared" si="29"/>
        <v>2.4</v>
      </c>
    </row>
    <row r="167" spans="2:19" ht="20.100000000000001" customHeight="1" thickBot="1" x14ac:dyDescent="0.3">
      <c r="B167" s="278"/>
      <c r="C167" s="4" t="s">
        <v>67</v>
      </c>
      <c r="D167" s="36">
        <f>Decade1!M149</f>
        <v>3</v>
      </c>
      <c r="E167" s="37">
        <f>Decade1!N149</f>
        <v>0</v>
      </c>
      <c r="F167" s="64">
        <f>Decade1!O149</f>
        <v>3.6</v>
      </c>
      <c r="G167" s="38">
        <f>Decade1!P149</f>
        <v>4.4000000000000004</v>
      </c>
      <c r="H167" s="39">
        <f>Decade2!M127</f>
        <v>4</v>
      </c>
      <c r="I167" s="37">
        <f>Decade2!N127</f>
        <v>0</v>
      </c>
      <c r="J167" s="70">
        <f>Decade2!O127</f>
        <v>1.2</v>
      </c>
      <c r="K167" s="71">
        <f>Decade2!P127</f>
        <v>2.8</v>
      </c>
      <c r="L167" s="40">
        <f>Decade3!N125</f>
        <v>2</v>
      </c>
      <c r="M167" s="41">
        <f>Decade3!O125</f>
        <v>1</v>
      </c>
      <c r="N167" s="66">
        <f>Decade3!P125</f>
        <v>50.7</v>
      </c>
      <c r="O167" s="38">
        <f>Decade3!Q125</f>
        <v>53.2</v>
      </c>
      <c r="P167" s="17">
        <f t="shared" si="26"/>
        <v>9</v>
      </c>
      <c r="Q167" s="5">
        <f t="shared" si="27"/>
        <v>1</v>
      </c>
      <c r="R167" s="7">
        <f t="shared" si="28"/>
        <v>50.7</v>
      </c>
      <c r="S167" s="7">
        <f t="shared" si="29"/>
        <v>60.400000000000006</v>
      </c>
    </row>
    <row r="168" spans="2:19" ht="20.100000000000001" customHeight="1" thickBot="1" x14ac:dyDescent="0.3">
      <c r="B168" s="278"/>
      <c r="C168" s="3" t="s">
        <v>73</v>
      </c>
      <c r="D168" s="36">
        <f>Decade1!M150</f>
        <v>2</v>
      </c>
      <c r="E168" s="37">
        <f>Decade1!N150</f>
        <v>1</v>
      </c>
      <c r="F168" s="64">
        <f>Decade1!O150</f>
        <v>23.3</v>
      </c>
      <c r="G168" s="38">
        <f>Decade1!P150</f>
        <v>26.8</v>
      </c>
      <c r="H168" s="39">
        <f>Decade2!M128</f>
        <v>0</v>
      </c>
      <c r="I168" s="37">
        <f>Decade2!N128</f>
        <v>0</v>
      </c>
      <c r="J168" s="70">
        <f>Decade2!O128</f>
        <v>0</v>
      </c>
      <c r="K168" s="71">
        <f>Decade2!P128</f>
        <v>0</v>
      </c>
      <c r="L168" s="40">
        <f>Decade3!N126</f>
        <v>0</v>
      </c>
      <c r="M168" s="41">
        <f>Decade3!O126</f>
        <v>0</v>
      </c>
      <c r="N168" s="66">
        <f>Decade3!P126</f>
        <v>0</v>
      </c>
      <c r="O168" s="38">
        <f>Decade3!Q126</f>
        <v>0</v>
      </c>
      <c r="P168" s="17">
        <f t="shared" si="26"/>
        <v>2</v>
      </c>
      <c r="Q168" s="5">
        <f t="shared" si="27"/>
        <v>1</v>
      </c>
      <c r="R168" s="7">
        <f t="shared" si="28"/>
        <v>23.3</v>
      </c>
      <c r="S168" s="7">
        <f t="shared" si="29"/>
        <v>26.8</v>
      </c>
    </row>
    <row r="169" spans="2:19" ht="17.25" customHeight="1" thickBot="1" x14ac:dyDescent="0.3">
      <c r="B169" s="278"/>
      <c r="C169" s="3" t="s">
        <v>74</v>
      </c>
      <c r="D169" s="36">
        <f>Decade1!M151</f>
        <v>2</v>
      </c>
      <c r="E169" s="37">
        <f>Decade1!N151</f>
        <v>1</v>
      </c>
      <c r="F169" s="64">
        <f>Decade1!O151</f>
        <v>21.7</v>
      </c>
      <c r="G169" s="38">
        <f>Decade1!P151</f>
        <v>34.5</v>
      </c>
      <c r="H169" s="39">
        <f>Decade2!M129</f>
        <v>1</v>
      </c>
      <c r="I169" s="37">
        <f>Decade2!N129</f>
        <v>0</v>
      </c>
      <c r="J169" s="70">
        <f>Decade2!O129</f>
        <v>12.2</v>
      </c>
      <c r="K169" s="71">
        <f>Decade2!P129</f>
        <v>12.2</v>
      </c>
      <c r="L169" s="40">
        <f>Decade3!N127</f>
        <v>0</v>
      </c>
      <c r="M169" s="41">
        <f>Decade3!O127</f>
        <v>0</v>
      </c>
      <c r="N169" s="66">
        <f>Decade3!P127</f>
        <v>0</v>
      </c>
      <c r="O169" s="38">
        <f>Decade3!Q127</f>
        <v>0</v>
      </c>
      <c r="P169" s="17">
        <f t="shared" si="26"/>
        <v>3</v>
      </c>
      <c r="Q169" s="5">
        <f t="shared" si="27"/>
        <v>1</v>
      </c>
      <c r="R169" s="7">
        <f t="shared" si="28"/>
        <v>21.7</v>
      </c>
      <c r="S169" s="7">
        <f t="shared" si="29"/>
        <v>46.7</v>
      </c>
    </row>
    <row r="170" spans="2:19" ht="17.25" customHeight="1" thickBot="1" x14ac:dyDescent="0.3">
      <c r="B170" s="278"/>
      <c r="C170" s="123" t="s">
        <v>64</v>
      </c>
      <c r="D170" s="36">
        <f>Decade1!M152</f>
        <v>0</v>
      </c>
      <c r="E170" s="37">
        <f>Decade1!N152</f>
        <v>0</v>
      </c>
      <c r="F170" s="64">
        <f>Decade1!O152</f>
        <v>0</v>
      </c>
      <c r="G170" s="38">
        <f>Decade1!P152</f>
        <v>0</v>
      </c>
      <c r="H170" s="39">
        <f>Decade2!M130</f>
        <v>0</v>
      </c>
      <c r="I170" s="37">
        <f>Decade2!N130</f>
        <v>0</v>
      </c>
      <c r="J170" s="70">
        <f>Decade2!O130</f>
        <v>0</v>
      </c>
      <c r="K170" s="71">
        <f>Decade2!P130</f>
        <v>0</v>
      </c>
      <c r="L170" s="40">
        <f>Decade3!N128</f>
        <v>0</v>
      </c>
      <c r="M170" s="41">
        <f>Decade3!O128</f>
        <v>0</v>
      </c>
      <c r="N170" s="66">
        <f>Decade3!P128</f>
        <v>0</v>
      </c>
      <c r="O170" s="38">
        <f>Decade3!Q128</f>
        <v>0</v>
      </c>
      <c r="P170" s="17">
        <f t="shared" si="26"/>
        <v>0</v>
      </c>
      <c r="Q170" s="5">
        <f t="shared" si="27"/>
        <v>0</v>
      </c>
      <c r="R170" s="7">
        <f t="shared" si="28"/>
        <v>0</v>
      </c>
      <c r="S170" s="7">
        <f t="shared" si="29"/>
        <v>0</v>
      </c>
    </row>
    <row r="171" spans="2:19" ht="17.25" customHeight="1" thickBot="1" x14ac:dyDescent="0.3">
      <c r="B171" s="278"/>
      <c r="C171" s="127" t="s">
        <v>156</v>
      </c>
      <c r="D171" s="36">
        <f>Decade1!M153</f>
        <v>0</v>
      </c>
      <c r="E171" s="37">
        <f>Decade1!N153</f>
        <v>0</v>
      </c>
      <c r="F171" s="64">
        <f>Decade1!O153</f>
        <v>0</v>
      </c>
      <c r="G171" s="38">
        <f>Decade1!P153</f>
        <v>0</v>
      </c>
      <c r="H171" s="39">
        <f>Decade2!M131</f>
        <v>0</v>
      </c>
      <c r="I171" s="37">
        <f>Decade2!N131</f>
        <v>0</v>
      </c>
      <c r="J171" s="70">
        <f>Decade2!O131</f>
        <v>0</v>
      </c>
      <c r="K171" s="71">
        <f>Decade2!P131</f>
        <v>0</v>
      </c>
      <c r="L171" s="40">
        <f>Decade3!N129</f>
        <v>0</v>
      </c>
      <c r="M171" s="41">
        <f>Decade3!O129</f>
        <v>0</v>
      </c>
      <c r="N171" s="66">
        <f>Decade3!P129</f>
        <v>0</v>
      </c>
      <c r="O171" s="38">
        <f>Decade3!Q129</f>
        <v>0</v>
      </c>
      <c r="P171" s="17">
        <f t="shared" ref="P171:P178" si="30">SUM(D171,H171,L171)</f>
        <v>0</v>
      </c>
      <c r="Q171" s="5">
        <f t="shared" ref="Q171:Q178" si="31">SUM(E171,I171,M171)</f>
        <v>0</v>
      </c>
      <c r="R171" s="7">
        <f t="shared" ref="R171:R178" si="32">MAX(F171,J171,N171)</f>
        <v>0</v>
      </c>
      <c r="S171" s="7">
        <f t="shared" ref="S171:S178" si="33">SUM(G171,K171,O171)</f>
        <v>0</v>
      </c>
    </row>
    <row r="172" spans="2:19" ht="17.25" customHeight="1" thickBot="1" x14ac:dyDescent="0.3">
      <c r="B172" s="278"/>
      <c r="C172" s="127" t="s">
        <v>157</v>
      </c>
      <c r="D172" s="36">
        <f>Decade1!M154</f>
        <v>0</v>
      </c>
      <c r="E172" s="37">
        <f>Decade1!N154</f>
        <v>0</v>
      </c>
      <c r="F172" s="64">
        <f>Decade1!O154</f>
        <v>0</v>
      </c>
      <c r="G172" s="38">
        <f>Decade1!P154</f>
        <v>0</v>
      </c>
      <c r="H172" s="39">
        <f>Decade2!M132</f>
        <v>0</v>
      </c>
      <c r="I172" s="37">
        <f>Decade2!N132</f>
        <v>0</v>
      </c>
      <c r="J172" s="70">
        <f>Decade2!O132</f>
        <v>0</v>
      </c>
      <c r="K172" s="71">
        <f>Decade2!P132</f>
        <v>0</v>
      </c>
      <c r="L172" s="40">
        <f>Decade3!N130</f>
        <v>0</v>
      </c>
      <c r="M172" s="41">
        <f>Decade3!O130</f>
        <v>0</v>
      </c>
      <c r="N172" s="66">
        <f>Decade3!P130</f>
        <v>0</v>
      </c>
      <c r="O172" s="38">
        <f>Decade3!Q130</f>
        <v>0</v>
      </c>
      <c r="P172" s="17">
        <f t="shared" si="30"/>
        <v>0</v>
      </c>
      <c r="Q172" s="5">
        <f t="shared" si="31"/>
        <v>0</v>
      </c>
      <c r="R172" s="7">
        <f t="shared" si="32"/>
        <v>0</v>
      </c>
      <c r="S172" s="7">
        <f t="shared" si="33"/>
        <v>0</v>
      </c>
    </row>
    <row r="173" spans="2:19" ht="17.25" customHeight="1" thickBot="1" x14ac:dyDescent="0.3">
      <c r="B173" s="278"/>
      <c r="C173" s="127" t="s">
        <v>158</v>
      </c>
      <c r="D173" s="36">
        <f>Decade1!M155</f>
        <v>0</v>
      </c>
      <c r="E173" s="37">
        <f>Decade1!N155</f>
        <v>0</v>
      </c>
      <c r="F173" s="64">
        <f>Decade1!O155</f>
        <v>0</v>
      </c>
      <c r="G173" s="38">
        <f>Decade1!P155</f>
        <v>0</v>
      </c>
      <c r="H173" s="39">
        <f>Decade2!M133</f>
        <v>0</v>
      </c>
      <c r="I173" s="37">
        <f>Decade2!N133</f>
        <v>0</v>
      </c>
      <c r="J173" s="70">
        <f>Decade2!O133</f>
        <v>0</v>
      </c>
      <c r="K173" s="71">
        <f>Decade2!P133</f>
        <v>0</v>
      </c>
      <c r="L173" s="40">
        <f>Decade3!N131</f>
        <v>0</v>
      </c>
      <c r="M173" s="41">
        <f>Decade3!O131</f>
        <v>0</v>
      </c>
      <c r="N173" s="66">
        <f>Decade3!P131</f>
        <v>0</v>
      </c>
      <c r="O173" s="38">
        <f>Decade3!Q131</f>
        <v>0</v>
      </c>
      <c r="P173" s="17">
        <f t="shared" si="30"/>
        <v>0</v>
      </c>
      <c r="Q173" s="5">
        <f t="shared" si="31"/>
        <v>0</v>
      </c>
      <c r="R173" s="7">
        <f t="shared" si="32"/>
        <v>0</v>
      </c>
      <c r="S173" s="7">
        <f t="shared" si="33"/>
        <v>0</v>
      </c>
    </row>
    <row r="174" spans="2:19" ht="17.25" customHeight="1" thickBot="1" x14ac:dyDescent="0.3">
      <c r="B174" s="278"/>
      <c r="C174" s="127" t="s">
        <v>159</v>
      </c>
      <c r="D174" s="36">
        <f>Decade1!M156</f>
        <v>0</v>
      </c>
      <c r="E174" s="37">
        <f>Decade1!N156</f>
        <v>0</v>
      </c>
      <c r="F174" s="64">
        <f>Decade1!O156</f>
        <v>0</v>
      </c>
      <c r="G174" s="38">
        <f>Decade1!P156</f>
        <v>0</v>
      </c>
      <c r="H174" s="39">
        <f>Decade2!M134</f>
        <v>0</v>
      </c>
      <c r="I174" s="37">
        <f>Decade2!N134</f>
        <v>0</v>
      </c>
      <c r="J174" s="70">
        <f>Decade2!O134</f>
        <v>0</v>
      </c>
      <c r="K174" s="71">
        <f>Decade2!P134</f>
        <v>0</v>
      </c>
      <c r="L174" s="40">
        <f>Decade3!N132</f>
        <v>0</v>
      </c>
      <c r="M174" s="41">
        <f>Decade3!O132</f>
        <v>0</v>
      </c>
      <c r="N174" s="66">
        <f>Decade3!P132</f>
        <v>0</v>
      </c>
      <c r="O174" s="38">
        <f>Decade3!Q132</f>
        <v>0</v>
      </c>
      <c r="P174" s="17">
        <f t="shared" si="30"/>
        <v>0</v>
      </c>
      <c r="Q174" s="5">
        <f t="shared" si="31"/>
        <v>0</v>
      </c>
      <c r="R174" s="7">
        <f t="shared" si="32"/>
        <v>0</v>
      </c>
      <c r="S174" s="7">
        <f t="shared" si="33"/>
        <v>0</v>
      </c>
    </row>
    <row r="175" spans="2:19" ht="17.25" customHeight="1" thickBot="1" x14ac:dyDescent="0.3">
      <c r="B175" s="278"/>
      <c r="C175" s="127" t="s">
        <v>160</v>
      </c>
      <c r="D175" s="36">
        <f>Decade1!M157</f>
        <v>0</v>
      </c>
      <c r="E175" s="37">
        <f>Decade1!N157</f>
        <v>0</v>
      </c>
      <c r="F175" s="64">
        <f>Decade1!O157</f>
        <v>0</v>
      </c>
      <c r="G175" s="38">
        <f>Decade1!P157</f>
        <v>0</v>
      </c>
      <c r="H175" s="39">
        <f>Decade2!M135</f>
        <v>0</v>
      </c>
      <c r="I175" s="37">
        <f>Decade2!N135</f>
        <v>0</v>
      </c>
      <c r="J175" s="70">
        <f>Decade2!O135</f>
        <v>0</v>
      </c>
      <c r="K175" s="71">
        <f>Decade2!P135</f>
        <v>0</v>
      </c>
      <c r="L175" s="40">
        <f>Decade3!N133</f>
        <v>0</v>
      </c>
      <c r="M175" s="41">
        <f>Decade3!O133</f>
        <v>0</v>
      </c>
      <c r="N175" s="66">
        <f>Decade3!P133</f>
        <v>0</v>
      </c>
      <c r="O175" s="38">
        <f>Decade3!Q133</f>
        <v>0</v>
      </c>
      <c r="P175" s="17">
        <f t="shared" si="30"/>
        <v>0</v>
      </c>
      <c r="Q175" s="5">
        <f t="shared" si="31"/>
        <v>0</v>
      </c>
      <c r="R175" s="7">
        <f t="shared" si="32"/>
        <v>0</v>
      </c>
      <c r="S175" s="7">
        <f t="shared" si="33"/>
        <v>0</v>
      </c>
    </row>
    <row r="176" spans="2:19" ht="17.25" customHeight="1" thickBot="1" x14ac:dyDescent="0.3">
      <c r="B176" s="278"/>
      <c r="C176" s="127" t="s">
        <v>161</v>
      </c>
      <c r="D176" s="36">
        <f>Decade1!M158</f>
        <v>0</v>
      </c>
      <c r="E176" s="37">
        <f>Decade1!N158</f>
        <v>0</v>
      </c>
      <c r="F176" s="64">
        <f>Decade1!O158</f>
        <v>0</v>
      </c>
      <c r="G176" s="38">
        <f>Decade1!P158</f>
        <v>0</v>
      </c>
      <c r="H176" s="39">
        <f>Decade2!M136</f>
        <v>0</v>
      </c>
      <c r="I176" s="37">
        <f>Decade2!N136</f>
        <v>0</v>
      </c>
      <c r="J176" s="70">
        <f>Decade2!O136</f>
        <v>0</v>
      </c>
      <c r="K176" s="71">
        <f>Decade2!P136</f>
        <v>0</v>
      </c>
      <c r="L176" s="40">
        <f>Decade3!N134</f>
        <v>0</v>
      </c>
      <c r="M176" s="41">
        <f>Decade3!O134</f>
        <v>0</v>
      </c>
      <c r="N176" s="66">
        <f>Decade3!P134</f>
        <v>0</v>
      </c>
      <c r="O176" s="38">
        <f>Decade3!Q134</f>
        <v>0</v>
      </c>
      <c r="P176" s="17">
        <f t="shared" si="30"/>
        <v>0</v>
      </c>
      <c r="Q176" s="5">
        <f t="shared" si="31"/>
        <v>0</v>
      </c>
      <c r="R176" s="7">
        <f t="shared" si="32"/>
        <v>0</v>
      </c>
      <c r="S176" s="7">
        <f t="shared" si="33"/>
        <v>0</v>
      </c>
    </row>
    <row r="177" spans="2:19" ht="17.25" customHeight="1" thickBot="1" x14ac:dyDescent="0.3">
      <c r="B177" s="278"/>
      <c r="C177" s="127" t="s">
        <v>162</v>
      </c>
      <c r="D177" s="36">
        <f>Decade1!M159</f>
        <v>0</v>
      </c>
      <c r="E177" s="37">
        <f>Decade1!N159</f>
        <v>0</v>
      </c>
      <c r="F177" s="64">
        <f>Decade1!O159</f>
        <v>0</v>
      </c>
      <c r="G177" s="38">
        <f>Decade1!P159</f>
        <v>0</v>
      </c>
      <c r="H177" s="39">
        <f>Decade2!M137</f>
        <v>0</v>
      </c>
      <c r="I177" s="37">
        <f>Decade2!N137</f>
        <v>0</v>
      </c>
      <c r="J177" s="70">
        <f>Decade2!O137</f>
        <v>0</v>
      </c>
      <c r="K177" s="71">
        <f>Decade2!P137</f>
        <v>0</v>
      </c>
      <c r="L177" s="40">
        <f>Decade3!N135</f>
        <v>0</v>
      </c>
      <c r="M177" s="41">
        <f>Decade3!O135</f>
        <v>0</v>
      </c>
      <c r="N177" s="66">
        <f>Decade3!P135</f>
        <v>0</v>
      </c>
      <c r="O177" s="38">
        <f>Decade3!Q135</f>
        <v>0</v>
      </c>
      <c r="P177" s="17">
        <f t="shared" si="30"/>
        <v>0</v>
      </c>
      <c r="Q177" s="5">
        <f t="shared" si="31"/>
        <v>0</v>
      </c>
      <c r="R177" s="7">
        <f t="shared" si="32"/>
        <v>0</v>
      </c>
      <c r="S177" s="7">
        <f t="shared" si="33"/>
        <v>0</v>
      </c>
    </row>
    <row r="178" spans="2:19" ht="17.25" customHeight="1" thickBot="1" x14ac:dyDescent="0.3">
      <c r="B178" s="278"/>
      <c r="C178" s="128" t="s">
        <v>163</v>
      </c>
      <c r="D178" s="36">
        <f>Decade1!M160</f>
        <v>0</v>
      </c>
      <c r="E178" s="37">
        <f>Decade1!N160</f>
        <v>0</v>
      </c>
      <c r="F178" s="64">
        <f>Decade1!O160</f>
        <v>0</v>
      </c>
      <c r="G178" s="38">
        <f>Decade1!P160</f>
        <v>0</v>
      </c>
      <c r="H178" s="39">
        <f>Decade2!M138</f>
        <v>0</v>
      </c>
      <c r="I178" s="37">
        <f>Decade2!N138</f>
        <v>0</v>
      </c>
      <c r="J178" s="70">
        <f>Decade2!O138</f>
        <v>0</v>
      </c>
      <c r="K178" s="71">
        <f>Decade2!P138</f>
        <v>0</v>
      </c>
      <c r="L178" s="40">
        <f>Decade3!N136</f>
        <v>0</v>
      </c>
      <c r="M178" s="41">
        <f>Decade3!O136</f>
        <v>0</v>
      </c>
      <c r="N178" s="66">
        <f>Decade3!P136</f>
        <v>0</v>
      </c>
      <c r="O178" s="38">
        <f>Decade3!Q136</f>
        <v>0</v>
      </c>
      <c r="P178" s="17">
        <f t="shared" si="30"/>
        <v>0</v>
      </c>
      <c r="Q178" s="5">
        <f t="shared" si="31"/>
        <v>0</v>
      </c>
      <c r="R178" s="7">
        <f t="shared" si="32"/>
        <v>0</v>
      </c>
      <c r="S178" s="7">
        <f t="shared" si="33"/>
        <v>0</v>
      </c>
    </row>
    <row r="179" spans="2:19" ht="18" customHeight="1" thickBot="1" x14ac:dyDescent="0.3">
      <c r="B179" s="278"/>
      <c r="C179" s="2" t="s">
        <v>71</v>
      </c>
      <c r="D179" s="36">
        <f>Decade1!M161</f>
        <v>1</v>
      </c>
      <c r="E179" s="37">
        <f>Decade1!N161</f>
        <v>0</v>
      </c>
      <c r="F179" s="64">
        <f>Decade1!O161</f>
        <v>2.8</v>
      </c>
      <c r="G179" s="38">
        <f>Decade1!P161</f>
        <v>2.8</v>
      </c>
      <c r="H179" s="39">
        <f>Decade2!M139</f>
        <v>0</v>
      </c>
      <c r="I179" s="37">
        <f>Decade2!N139</f>
        <v>0</v>
      </c>
      <c r="J179" s="70">
        <f>Decade2!O139</f>
        <v>0</v>
      </c>
      <c r="K179" s="71">
        <f>Decade2!P139</f>
        <v>0</v>
      </c>
      <c r="L179" s="40">
        <f>Decade3!N137</f>
        <v>1</v>
      </c>
      <c r="M179" s="41">
        <f>Decade3!O137</f>
        <v>0</v>
      </c>
      <c r="N179" s="66">
        <f>Decade3!P137</f>
        <v>18.5</v>
      </c>
      <c r="O179" s="38">
        <f>Decade3!Q137</f>
        <v>18.5</v>
      </c>
      <c r="P179" s="17">
        <f t="shared" si="26"/>
        <v>2</v>
      </c>
      <c r="Q179" s="5">
        <f t="shared" si="27"/>
        <v>0</v>
      </c>
      <c r="R179" s="7">
        <f t="shared" si="28"/>
        <v>18.5</v>
      </c>
      <c r="S179" s="7">
        <f t="shared" si="29"/>
        <v>21.3</v>
      </c>
    </row>
    <row r="180" spans="2:19" ht="20.100000000000001" customHeight="1" thickBot="1" x14ac:dyDescent="0.3">
      <c r="B180" s="278"/>
      <c r="C180" s="3" t="s">
        <v>59</v>
      </c>
      <c r="D180" s="36">
        <f>Decade1!M162</f>
        <v>2</v>
      </c>
      <c r="E180" s="37">
        <f>Decade1!N162</f>
        <v>0</v>
      </c>
      <c r="F180" s="64">
        <f>Decade1!O162</f>
        <v>6.4</v>
      </c>
      <c r="G180" s="38">
        <f>Decade1!P162</f>
        <v>8.6000000000000014</v>
      </c>
      <c r="H180" s="39">
        <f>Decade2!M140</f>
        <v>0</v>
      </c>
      <c r="I180" s="37">
        <f>Decade2!N140</f>
        <v>0</v>
      </c>
      <c r="J180" s="70">
        <f>Decade2!O140</f>
        <v>0</v>
      </c>
      <c r="K180" s="71">
        <f>Decade2!P140</f>
        <v>0</v>
      </c>
      <c r="L180" s="40">
        <f>Decade3!N138</f>
        <v>0</v>
      </c>
      <c r="M180" s="41">
        <f>Decade3!O138</f>
        <v>0</v>
      </c>
      <c r="N180" s="66">
        <f>Decade3!P138</f>
        <v>0</v>
      </c>
      <c r="O180" s="38">
        <f>Decade3!Q138</f>
        <v>0</v>
      </c>
      <c r="P180" s="17">
        <f t="shared" si="26"/>
        <v>2</v>
      </c>
      <c r="Q180" s="5">
        <f t="shared" si="27"/>
        <v>0</v>
      </c>
      <c r="R180" s="7">
        <f t="shared" si="28"/>
        <v>6.4</v>
      </c>
      <c r="S180" s="7">
        <f t="shared" si="29"/>
        <v>8.6000000000000014</v>
      </c>
    </row>
    <row r="181" spans="2:19" ht="17.25" customHeight="1" thickBot="1" x14ac:dyDescent="0.3">
      <c r="B181" s="278"/>
      <c r="C181" s="4" t="s">
        <v>62</v>
      </c>
      <c r="D181" s="36">
        <f>Decade1!M163</f>
        <v>0</v>
      </c>
      <c r="E181" s="37">
        <f>Decade1!N163</f>
        <v>0</v>
      </c>
      <c r="F181" s="64">
        <f>Decade1!O163</f>
        <v>0.3</v>
      </c>
      <c r="G181" s="38">
        <f>Decade1!P163</f>
        <v>0.4</v>
      </c>
      <c r="H181" s="39">
        <f>Decade2!M141</f>
        <v>0</v>
      </c>
      <c r="I181" s="37">
        <f>Decade2!N141</f>
        <v>0</v>
      </c>
      <c r="J181" s="70">
        <f>Decade2!O141</f>
        <v>0</v>
      </c>
      <c r="K181" s="71">
        <f>Decade2!P141</f>
        <v>0</v>
      </c>
      <c r="L181" s="40">
        <f>Decade3!N139</f>
        <v>1</v>
      </c>
      <c r="M181" s="41">
        <f>Decade3!O139</f>
        <v>0</v>
      </c>
      <c r="N181" s="66">
        <f>Decade3!P139</f>
        <v>0.6</v>
      </c>
      <c r="O181" s="38">
        <f>Decade3!Q139</f>
        <v>0.6</v>
      </c>
      <c r="P181" s="17">
        <f t="shared" si="26"/>
        <v>1</v>
      </c>
      <c r="Q181" s="5">
        <f t="shared" si="27"/>
        <v>0</v>
      </c>
      <c r="R181" s="7">
        <f t="shared" si="28"/>
        <v>0.6</v>
      </c>
      <c r="S181" s="7">
        <f t="shared" si="29"/>
        <v>1</v>
      </c>
    </row>
    <row r="182" spans="2:19" ht="20.100000000000001" customHeight="1" thickBot="1" x14ac:dyDescent="0.3">
      <c r="B182" s="278"/>
      <c r="C182" s="4" t="s">
        <v>68</v>
      </c>
      <c r="D182" s="36">
        <f>Decade1!M164</f>
        <v>1</v>
      </c>
      <c r="E182" s="37">
        <f>Decade1!N164</f>
        <v>0</v>
      </c>
      <c r="F182" s="64">
        <f>Decade1!O164</f>
        <v>9.8000000000000007</v>
      </c>
      <c r="G182" s="38">
        <f>Decade1!P164</f>
        <v>9.8000000000000007</v>
      </c>
      <c r="H182" s="39">
        <f>Decade2!M142</f>
        <v>0</v>
      </c>
      <c r="I182" s="37">
        <f>Decade2!N142</f>
        <v>0</v>
      </c>
      <c r="J182" s="70">
        <f>Decade2!O142</f>
        <v>0</v>
      </c>
      <c r="K182" s="71">
        <f>Decade2!P142</f>
        <v>0</v>
      </c>
      <c r="L182" s="40">
        <f>Decade3!N140</f>
        <v>0</v>
      </c>
      <c r="M182" s="41">
        <f>Decade3!O140</f>
        <v>0</v>
      </c>
      <c r="N182" s="66">
        <f>Decade3!P140</f>
        <v>0</v>
      </c>
      <c r="O182" s="38">
        <f>Decade3!Q140</f>
        <v>0</v>
      </c>
      <c r="P182" s="17">
        <f t="shared" si="26"/>
        <v>1</v>
      </c>
      <c r="Q182" s="5">
        <f t="shared" si="27"/>
        <v>0</v>
      </c>
      <c r="R182" s="7">
        <f t="shared" si="28"/>
        <v>9.8000000000000007</v>
      </c>
      <c r="S182" s="7">
        <f t="shared" si="29"/>
        <v>9.8000000000000007</v>
      </c>
    </row>
    <row r="183" spans="2:19" ht="20.100000000000001" customHeight="1" thickBot="1" x14ac:dyDescent="0.3">
      <c r="B183" s="278"/>
      <c r="C183" s="4" t="s">
        <v>70</v>
      </c>
      <c r="D183" s="36">
        <f>Decade1!M165</f>
        <v>1</v>
      </c>
      <c r="E183" s="37">
        <f>Decade1!N165</f>
        <v>0</v>
      </c>
      <c r="F183" s="64">
        <f>Decade1!O165</f>
        <v>5.3</v>
      </c>
      <c r="G183" s="38">
        <f>Decade1!P165</f>
        <v>5.3</v>
      </c>
      <c r="H183" s="39">
        <f>Decade2!M143</f>
        <v>0</v>
      </c>
      <c r="I183" s="37">
        <f>Decade2!N143</f>
        <v>0</v>
      </c>
      <c r="J183" s="70">
        <f>Decade2!O143</f>
        <v>0</v>
      </c>
      <c r="K183" s="71">
        <f>Decade2!P143</f>
        <v>0</v>
      </c>
      <c r="L183" s="40">
        <f>Decade3!N141</f>
        <v>0</v>
      </c>
      <c r="M183" s="41">
        <f>Decade3!O141</f>
        <v>0</v>
      </c>
      <c r="N183" s="66">
        <f>Decade3!P141</f>
        <v>0</v>
      </c>
      <c r="O183" s="38">
        <f>Decade3!Q141</f>
        <v>0</v>
      </c>
      <c r="P183" s="17">
        <f t="shared" si="26"/>
        <v>1</v>
      </c>
      <c r="Q183" s="5">
        <f t="shared" si="27"/>
        <v>0</v>
      </c>
      <c r="R183" s="7">
        <f t="shared" si="28"/>
        <v>5.3</v>
      </c>
      <c r="S183" s="7">
        <f t="shared" si="29"/>
        <v>5.3</v>
      </c>
    </row>
    <row r="184" spans="2:19" ht="18" customHeight="1" thickBot="1" x14ac:dyDescent="0.3">
      <c r="B184" s="279"/>
      <c r="C184" s="3" t="s">
        <v>75</v>
      </c>
      <c r="D184" s="36">
        <f>Decade1!M166</f>
        <v>2</v>
      </c>
      <c r="E184" s="37">
        <f>Decade1!N166</f>
        <v>0</v>
      </c>
      <c r="F184" s="64">
        <f>Decade1!O166</f>
        <v>10.1</v>
      </c>
      <c r="G184" s="38">
        <f>Decade1!P166</f>
        <v>13.1</v>
      </c>
      <c r="H184" s="39">
        <f>Decade2!M144</f>
        <v>0</v>
      </c>
      <c r="I184" s="37">
        <f>Decade2!N144</f>
        <v>0</v>
      </c>
      <c r="J184" s="70">
        <f>Decade2!O144</f>
        <v>0</v>
      </c>
      <c r="K184" s="71">
        <f>Decade2!P144</f>
        <v>0</v>
      </c>
      <c r="L184" s="40">
        <f>Decade3!N142</f>
        <v>0</v>
      </c>
      <c r="M184" s="41">
        <f>Decade3!O142</f>
        <v>0</v>
      </c>
      <c r="N184" s="66">
        <f>Decade3!P142</f>
        <v>0</v>
      </c>
      <c r="O184" s="38">
        <f>Decade3!Q142</f>
        <v>0</v>
      </c>
      <c r="P184" s="17">
        <f t="shared" si="26"/>
        <v>2</v>
      </c>
      <c r="Q184" s="5">
        <f t="shared" si="27"/>
        <v>0</v>
      </c>
      <c r="R184" s="7">
        <f t="shared" si="28"/>
        <v>10.1</v>
      </c>
      <c r="S184" s="7">
        <f t="shared" si="29"/>
        <v>13.1</v>
      </c>
    </row>
    <row r="185" spans="2:19" ht="16.5" thickBot="1" x14ac:dyDescent="0.3">
      <c r="B185" s="129"/>
      <c r="C185" s="3" t="s">
        <v>144</v>
      </c>
      <c r="D185" s="36">
        <f>Decade1!M167</f>
        <v>0</v>
      </c>
      <c r="E185" s="37">
        <f>Decade1!N167</f>
        <v>0</v>
      </c>
      <c r="F185" s="64">
        <f>Decade1!O167</f>
        <v>0</v>
      </c>
      <c r="G185" s="38">
        <f>Decade1!P167</f>
        <v>0</v>
      </c>
      <c r="H185" s="39">
        <f>Decade2!M145</f>
        <v>0</v>
      </c>
      <c r="I185" s="37">
        <f>Decade2!N145</f>
        <v>0</v>
      </c>
      <c r="J185" s="70">
        <f>Decade2!O145</f>
        <v>0</v>
      </c>
      <c r="K185" s="71">
        <f>Decade2!P145</f>
        <v>0</v>
      </c>
      <c r="L185" s="40">
        <f>Decade3!N143</f>
        <v>0</v>
      </c>
      <c r="M185" s="41">
        <f>Decade3!O143</f>
        <v>0</v>
      </c>
      <c r="N185" s="66">
        <f>Decade3!P143</f>
        <v>0</v>
      </c>
      <c r="O185" s="38">
        <f>Decade3!Q143</f>
        <v>0</v>
      </c>
      <c r="P185" s="17">
        <f>SUM(D185,H185,L185)</f>
        <v>0</v>
      </c>
      <c r="Q185" s="5">
        <f>SUM(E185,I185,M185)</f>
        <v>0</v>
      </c>
      <c r="R185" s="7">
        <f>MAX(F185,J185,N185)</f>
        <v>0</v>
      </c>
      <c r="S185" s="7">
        <f>SUM(G185,K185,O185)</f>
        <v>0</v>
      </c>
    </row>
    <row r="187" spans="2:19" ht="15" customHeight="1" x14ac:dyDescent="0.25">
      <c r="B187" s="239" t="s">
        <v>95</v>
      </c>
      <c r="C187" s="239"/>
      <c r="D187" s="239"/>
      <c r="E187" s="239"/>
      <c r="F187" s="239"/>
      <c r="G187" s="239"/>
      <c r="H187" s="239"/>
      <c r="I187" s="239"/>
      <c r="J187" s="239"/>
      <c r="K187" s="239"/>
      <c r="L187" s="239"/>
      <c r="M187" s="239"/>
      <c r="N187" s="239"/>
      <c r="O187" s="239"/>
      <c r="P187" s="239"/>
      <c r="Q187" s="239"/>
      <c r="R187" s="239"/>
      <c r="S187" s="239"/>
    </row>
    <row r="188" spans="2:19" ht="4.5" customHeight="1" x14ac:dyDescent="0.25">
      <c r="B188" s="56"/>
      <c r="C188" s="56"/>
      <c r="D188" s="56"/>
      <c r="E188" s="56"/>
      <c r="F188" s="65"/>
      <c r="G188" s="56"/>
      <c r="H188" s="56"/>
      <c r="I188" s="56"/>
      <c r="J188" s="65"/>
      <c r="K188" s="56"/>
      <c r="L188" s="56"/>
      <c r="M188" s="56"/>
      <c r="N188" s="65"/>
      <c r="O188" s="56"/>
      <c r="P188" s="56"/>
      <c r="Q188" s="56"/>
      <c r="R188" s="56"/>
      <c r="S188" s="56"/>
    </row>
    <row r="189" spans="2:19" ht="12.75" customHeight="1" x14ac:dyDescent="0.25">
      <c r="B189" t="s">
        <v>110</v>
      </c>
    </row>
    <row r="190" spans="2:19" ht="12.75" customHeight="1" x14ac:dyDescent="0.25">
      <c r="B190" t="s">
        <v>111</v>
      </c>
      <c r="H190" t="s">
        <v>97</v>
      </c>
    </row>
    <row r="191" spans="2:19" ht="12.75" customHeight="1" x14ac:dyDescent="0.25">
      <c r="B191" t="s">
        <v>107</v>
      </c>
      <c r="H191" t="s">
        <v>98</v>
      </c>
    </row>
    <row r="192" spans="2:19" ht="10.5" customHeight="1" x14ac:dyDescent="0.25">
      <c r="B192" t="s">
        <v>96</v>
      </c>
      <c r="H192" t="s">
        <v>99</v>
      </c>
    </row>
  </sheetData>
  <mergeCells count="54">
    <mergeCell ref="B129:B141"/>
    <mergeCell ref="L6:O6"/>
    <mergeCell ref="P6:S6"/>
    <mergeCell ref="L62:O62"/>
    <mergeCell ref="P62:S62"/>
    <mergeCell ref="D35:S35"/>
    <mergeCell ref="D36:G36"/>
    <mergeCell ref="H36:K36"/>
    <mergeCell ref="L36:O36"/>
    <mergeCell ref="P36:S36"/>
    <mergeCell ref="B24:S24"/>
    <mergeCell ref="B5:B7"/>
    <mergeCell ref="C5:C7"/>
    <mergeCell ref="D5:S5"/>
    <mergeCell ref="D6:G6"/>
    <mergeCell ref="H6:K6"/>
    <mergeCell ref="L127:O127"/>
    <mergeCell ref="D92:S92"/>
    <mergeCell ref="D93:G93"/>
    <mergeCell ref="H93:K93"/>
    <mergeCell ref="L93:O93"/>
    <mergeCell ref="P93:S93"/>
    <mergeCell ref="B38:B54"/>
    <mergeCell ref="B187:S187"/>
    <mergeCell ref="B113:S113"/>
    <mergeCell ref="B86:S86"/>
    <mergeCell ref="B154:B156"/>
    <mergeCell ref="C154:C156"/>
    <mergeCell ref="D154:S154"/>
    <mergeCell ref="D155:G155"/>
    <mergeCell ref="H155:K155"/>
    <mergeCell ref="L155:O155"/>
    <mergeCell ref="P155:S155"/>
    <mergeCell ref="C126:C128"/>
    <mergeCell ref="B126:B128"/>
    <mergeCell ref="D126:S126"/>
    <mergeCell ref="D127:G127"/>
    <mergeCell ref="H127:K127"/>
    <mergeCell ref="B64:B85"/>
    <mergeCell ref="B8:B22"/>
    <mergeCell ref="B95:B111"/>
    <mergeCell ref="B157:B184"/>
    <mergeCell ref="B144:S144"/>
    <mergeCell ref="P127:S127"/>
    <mergeCell ref="B92:B94"/>
    <mergeCell ref="C35:C37"/>
    <mergeCell ref="C92:C94"/>
    <mergeCell ref="B61:B63"/>
    <mergeCell ref="C61:C63"/>
    <mergeCell ref="B35:B37"/>
    <mergeCell ref="B56:S56"/>
    <mergeCell ref="D61:S61"/>
    <mergeCell ref="D62:G62"/>
    <mergeCell ref="H62:K62"/>
  </mergeCells>
  <pageMargins left="0.51181102362204722" right="0.51181102362204722" top="0.39370078740157483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Decade1</vt:lpstr>
      <vt:lpstr>Decade2</vt:lpstr>
      <vt:lpstr>Decade3</vt:lpstr>
      <vt:lpstr>Cumul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AMOUSSOU</dc:creator>
  <cp:lastModifiedBy>METEO-BENIN</cp:lastModifiedBy>
  <cp:lastPrinted>2016-06-13T09:07:46Z</cp:lastPrinted>
  <dcterms:created xsi:type="dcterms:W3CDTF">2014-01-15T15:35:52Z</dcterms:created>
  <dcterms:modified xsi:type="dcterms:W3CDTF">2026-08-24T15:54:28Z</dcterms:modified>
</cp:coreProperties>
</file>